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runavukkarasu\OneDrive\Desktop\Entri DA\Not required\Books\"/>
    </mc:Choice>
  </mc:AlternateContent>
  <xr:revisionPtr revIDLastSave="0" documentId="13_ncr:1_{B9A239B4-4BD0-44EF-8A2B-82A6939A7F1C}" xr6:coauthVersionLast="47" xr6:coauthVersionMax="47" xr10:uidLastSave="{00000000-0000-0000-0000-000000000000}"/>
  <bookViews>
    <workbookView xWindow="-120" yWindow="-120" windowWidth="20730" windowHeight="11160" activeTab="4" xr2:uid="{A9399CEE-07B2-466F-8EF7-DCCCDFE7F5D3}"/>
  </bookViews>
  <sheets>
    <sheet name="books" sheetId="2" r:id="rId1"/>
    <sheet name="books_db" sheetId="3" r:id="rId2"/>
    <sheet name="Descriptive Analysis" sheetId="9" r:id="rId3"/>
    <sheet name="Pivot_tables" sheetId="7" r:id="rId4"/>
    <sheet name="Dashboard" sheetId="8" r:id="rId5"/>
  </sheets>
  <definedNames>
    <definedName name="ExternalData_1" localSheetId="1" hidden="1">books_db!$A$1:$O$197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P23" i="3"/>
  <c r="P92" i="3"/>
  <c r="P85" i="3"/>
  <c r="P64" i="3"/>
  <c r="P91" i="3"/>
  <c r="P61" i="3"/>
  <c r="P57" i="3"/>
  <c r="P51" i="3"/>
  <c r="P196" i="3"/>
  <c r="P25" i="3"/>
  <c r="P136" i="3"/>
  <c r="P120" i="3"/>
  <c r="P161" i="3"/>
  <c r="P106" i="3"/>
  <c r="P83" i="3"/>
  <c r="P152" i="3"/>
  <c r="P33" i="3"/>
  <c r="P179" i="3"/>
  <c r="P151" i="3"/>
  <c r="P30" i="3"/>
  <c r="P77" i="3"/>
  <c r="P100" i="3"/>
  <c r="P193" i="3"/>
  <c r="P183" i="3"/>
  <c r="P166" i="3"/>
  <c r="P117" i="3"/>
  <c r="P27" i="3"/>
  <c r="P175" i="3"/>
  <c r="P35" i="3"/>
  <c r="P168" i="3"/>
  <c r="P96" i="3"/>
  <c r="P148" i="3"/>
  <c r="P50" i="3"/>
  <c r="P142" i="3"/>
  <c r="P44" i="3"/>
  <c r="P153" i="3"/>
  <c r="P194" i="3"/>
  <c r="P70" i="3"/>
  <c r="P86" i="3"/>
  <c r="P127" i="3"/>
  <c r="P8" i="3"/>
  <c r="P192" i="3"/>
  <c r="P49" i="3"/>
  <c r="P52" i="3"/>
  <c r="P14" i="3"/>
  <c r="P47" i="3"/>
  <c r="P187" i="3"/>
  <c r="P107" i="3"/>
  <c r="P130" i="3"/>
  <c r="P115" i="3"/>
  <c r="P137" i="3"/>
  <c r="P82" i="3"/>
  <c r="P18" i="3"/>
  <c r="P20" i="3"/>
  <c r="P105" i="3"/>
  <c r="P29" i="3"/>
  <c r="P165" i="3"/>
  <c r="P138" i="3"/>
  <c r="P180" i="3"/>
  <c r="P81" i="3"/>
  <c r="P118" i="3"/>
  <c r="P181" i="3"/>
  <c r="P60" i="3"/>
  <c r="P68" i="3"/>
  <c r="P134" i="3"/>
  <c r="P145" i="3"/>
  <c r="P58" i="3"/>
  <c r="P43" i="3"/>
  <c r="P185" i="3"/>
  <c r="P144" i="3"/>
  <c r="P132" i="3"/>
  <c r="P3" i="3"/>
  <c r="P39" i="3"/>
  <c r="P131" i="3"/>
  <c r="P28" i="3"/>
  <c r="P11" i="3"/>
  <c r="P12" i="3"/>
  <c r="P71" i="3"/>
  <c r="P116" i="3"/>
  <c r="P66" i="3"/>
  <c r="P2" i="3"/>
  <c r="P101" i="3"/>
  <c r="P102" i="3"/>
  <c r="P75" i="3"/>
  <c r="P69" i="3"/>
  <c r="P48" i="3"/>
  <c r="P76" i="3"/>
  <c r="P15" i="3"/>
  <c r="P171" i="3"/>
  <c r="P174" i="3"/>
  <c r="P160" i="3"/>
  <c r="P103" i="3"/>
  <c r="P97" i="3"/>
  <c r="P128" i="3"/>
  <c r="P149" i="3"/>
  <c r="P84" i="3"/>
  <c r="P195" i="3"/>
  <c r="P169" i="3"/>
  <c r="P163" i="3"/>
  <c r="P78" i="3"/>
  <c r="P17" i="3"/>
  <c r="P146" i="3"/>
  <c r="P65" i="3"/>
  <c r="P90" i="3"/>
  <c r="P140" i="3"/>
  <c r="P55" i="3"/>
  <c r="P46" i="3"/>
  <c r="P143" i="3"/>
  <c r="P31" i="3"/>
  <c r="P95" i="3"/>
  <c r="P190" i="3"/>
  <c r="P79" i="3"/>
  <c r="P108" i="3"/>
  <c r="P109" i="3"/>
  <c r="P110" i="3"/>
  <c r="P80" i="3"/>
  <c r="P54" i="3"/>
  <c r="P188" i="3"/>
  <c r="P34" i="3"/>
  <c r="P111" i="3"/>
  <c r="P21" i="3"/>
  <c r="P150" i="3"/>
  <c r="P167" i="3"/>
  <c r="P36" i="3"/>
  <c r="P112" i="3"/>
  <c r="P10" i="3"/>
  <c r="P6" i="3"/>
  <c r="P114" i="3"/>
  <c r="P186" i="3"/>
  <c r="P125" i="3"/>
  <c r="P189" i="3"/>
  <c r="P123" i="3"/>
  <c r="P38" i="3"/>
  <c r="P133" i="3"/>
  <c r="P74" i="3"/>
  <c r="P197" i="3"/>
  <c r="P170" i="3"/>
  <c r="P63" i="3"/>
  <c r="P126" i="3"/>
  <c r="P176" i="3"/>
  <c r="P19" i="3"/>
  <c r="P158" i="3"/>
  <c r="P135" i="3"/>
  <c r="P159" i="3"/>
  <c r="P41" i="3"/>
  <c r="P154" i="3"/>
  <c r="P191" i="3"/>
  <c r="P13" i="3"/>
  <c r="P104" i="3"/>
  <c r="P99" i="3"/>
  <c r="P98" i="3"/>
  <c r="P172" i="3"/>
  <c r="P67" i="3"/>
  <c r="P4" i="3"/>
  <c r="P87" i="3"/>
  <c r="P93" i="3"/>
  <c r="P88" i="3"/>
  <c r="P129" i="3"/>
  <c r="P56" i="3"/>
  <c r="P113" i="3"/>
  <c r="P119" i="3"/>
  <c r="P16" i="3"/>
  <c r="P32" i="3"/>
  <c r="P89" i="3"/>
  <c r="P59" i="3"/>
  <c r="P7" i="3"/>
  <c r="P40" i="3"/>
  <c r="P62" i="3"/>
  <c r="P157" i="3"/>
  <c r="P147" i="3"/>
  <c r="P22" i="3"/>
  <c r="P42" i="3"/>
  <c r="P155" i="3"/>
  <c r="P141" i="3"/>
  <c r="P178" i="3"/>
  <c r="P177" i="3"/>
  <c r="P156" i="3"/>
  <c r="P184" i="3"/>
  <c r="P94" i="3"/>
  <c r="P37" i="3"/>
  <c r="P173" i="3"/>
  <c r="P164" i="3"/>
  <c r="P73" i="3"/>
  <c r="P124" i="3"/>
  <c r="P24" i="3"/>
  <c r="P5" i="3"/>
  <c r="P162" i="3"/>
  <c r="P72" i="3"/>
  <c r="P182" i="3"/>
  <c r="P139" i="3"/>
  <c r="P45" i="3"/>
  <c r="P26" i="3"/>
  <c r="P53" i="3"/>
  <c r="P122" i="3"/>
  <c r="P121" i="3"/>
  <c r="P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74F4B-A260-4B31-9472-3144DD25E1FE}" keepAlive="1" name="Query - books_db" description="Connection to the 'books_db' query in the workbook." type="5" refreshedVersion="0" background="1">
    <dbPr connection="Provider=Microsoft.Mashup.OleDb.1;Data Source=$Workbook$;Location=books_db;Extended Properties=&quot;&quot;" command="SELECT * FROM [books_db]"/>
  </connection>
</connections>
</file>

<file path=xl/sharedStrings.xml><?xml version="1.0" encoding="utf-8"?>
<sst xmlns="http://schemas.openxmlformats.org/spreadsheetml/2006/main" count="3291" uniqueCount="644">
  <si>
    <t>Book name</t>
  </si>
  <si>
    <t>Author</t>
  </si>
  <si>
    <t>Rating</t>
  </si>
  <si>
    <t>Reading age</t>
  </si>
  <si>
    <t>Print Length</t>
  </si>
  <si>
    <t>Publishing date</t>
  </si>
  <si>
    <t>Genre</t>
  </si>
  <si>
    <t>Atomic Habits: An Easy &amp; Proven Way to Build Good Habits &amp; Break Bad Ones</t>
  </si>
  <si>
    <t>James Clear</t>
  </si>
  <si>
    <t>4.8 out of 5 stars</t>
  </si>
  <si>
    <t>Hardcover</t>
  </si>
  <si>
    <t>$18.88</t>
  </si>
  <si>
    <t/>
  </si>
  <si>
    <t>Self-Improvement</t>
  </si>
  <si>
    <t>Rebecca Yarros</t>
  </si>
  <si>
    <t>4.7 out of 5 stars</t>
  </si>
  <si>
    <t>$11.05</t>
  </si>
  <si>
    <t>Fiction &amp; Action &amp; Adventure</t>
  </si>
  <si>
    <t>Spare</t>
  </si>
  <si>
    <t>Prince Harry  The Duke of Sussex</t>
  </si>
  <si>
    <t>4.5 out of 5 stars</t>
  </si>
  <si>
    <t>$11.99</t>
  </si>
  <si>
    <t>Biographies &amp; Memoirs</t>
  </si>
  <si>
    <t>Fourth Wing</t>
  </si>
  <si>
    <t>Paperback</t>
  </si>
  <si>
    <t>$13.62</t>
  </si>
  <si>
    <t>The Woman in Me</t>
  </si>
  <si>
    <t>Britney Spears</t>
  </si>
  <si>
    <t>4.4 out of 5 stars</t>
  </si>
  <si>
    <t>$11.37</t>
  </si>
  <si>
    <t>Lessons in Chemistry: A Novel</t>
  </si>
  <si>
    <t>Bonnie Garmus</t>
  </si>
  <si>
    <t>4.6 out of 5 stars</t>
  </si>
  <si>
    <t>$13.94</t>
  </si>
  <si>
    <t>The 48 Laws of Power</t>
  </si>
  <si>
    <t>Robert Greene</t>
  </si>
  <si>
    <t>$13.99</t>
  </si>
  <si>
    <t>Politics &amp; Social Sciences</t>
  </si>
  <si>
    <t>The Body Keeps the Score: Brain, Mind, and Body in the Healing of Trauma</t>
  </si>
  <si>
    <t>Bessel van der Kolk M.D.</t>
  </si>
  <si>
    <t>$14.39</t>
  </si>
  <si>
    <t>18 years and up</t>
  </si>
  <si>
    <t>Health &amp; Fitness &amp; Dieting</t>
  </si>
  <si>
    <t>It Starts with Us: A Novel (It Ends with Us)</t>
  </si>
  <si>
    <t>Colleen Hoover</t>
  </si>
  <si>
    <t>$1.88</t>
  </si>
  <si>
    <t>Outlive: The Science and Art of Longevity</t>
  </si>
  <si>
    <t>Peter Attia MD</t>
  </si>
  <si>
    <t>$18.00</t>
  </si>
  <si>
    <t>It Ends with Us: A Novel</t>
  </si>
  <si>
    <t>$9.03</t>
  </si>
  <si>
    <t>The Housemaid</t>
  </si>
  <si>
    <t>Freida McFadden</t>
  </si>
  <si>
    <t>$9.69</t>
  </si>
  <si>
    <t>Mystery &amp; Thriller &amp; Suspense</t>
  </si>
  <si>
    <t>The Very Hungry Caterpillar</t>
  </si>
  <si>
    <t>Eric Carle</t>
  </si>
  <si>
    <t>4.9 out of 5 stars</t>
  </si>
  <si>
    <t>Board book</t>
  </si>
  <si>
    <t>$5.75</t>
  </si>
  <si>
    <t>1 - 2 years</t>
  </si>
  <si>
    <t>Reading &amp; Writing</t>
  </si>
  <si>
    <t>Killers of the Flower Moon: The Osage Murders and the Birth of the FBI</t>
  </si>
  <si>
    <t>David Grann</t>
  </si>
  <si>
    <t>$9.99</t>
  </si>
  <si>
    <t>Verity</t>
  </si>
  <si>
    <t>$12.09</t>
  </si>
  <si>
    <t>The Seven Husbands of Evelyn Hugo</t>
  </si>
  <si>
    <t>Taylor Jenkins Reid</t>
  </si>
  <si>
    <t>$6.91</t>
  </si>
  <si>
    <t>The Creative Act: A Way of Being</t>
  </si>
  <si>
    <t>Rick Rubin</t>
  </si>
  <si>
    <t>$16.99</t>
  </si>
  <si>
    <t>Taylor Swift: A Little Golden Book Biography</t>
  </si>
  <si>
    <t>Wendy Loggia, Elisa Chavarri</t>
  </si>
  <si>
    <t>$4.35</t>
  </si>
  <si>
    <t>5 years and up</t>
  </si>
  <si>
    <t>Arts &amp; Music &amp; Photography</t>
  </si>
  <si>
    <t>The Four Agreements: A Practical Guide to Personal Freedom</t>
  </si>
  <si>
    <t>Janet Mills, Don Miguel Ruiz</t>
  </si>
  <si>
    <t>$7.05</t>
  </si>
  <si>
    <t>Demon Copperhead: A Novel</t>
  </si>
  <si>
    <t>Barbara Kingsolver</t>
  </si>
  <si>
    <t>$17.10</t>
  </si>
  <si>
    <t>A Court of Thorns and Roses</t>
  </si>
  <si>
    <t>Sarah J. Maas</t>
  </si>
  <si>
    <t>$12.80</t>
  </si>
  <si>
    <t>Interesting Facts For Curious Minds</t>
  </si>
  <si>
    <t>Jordan Moore</t>
  </si>
  <si>
    <t>$10.41</t>
  </si>
  <si>
    <t>Puzzles &amp; Games</t>
  </si>
  <si>
    <t>No Brainer (Diary of a Wimpy Kid #18) (Volume 18)</t>
  </si>
  <si>
    <t>Jeff Kinney</t>
  </si>
  <si>
    <t>$2.03</t>
  </si>
  <si>
    <t>8 years and up</t>
  </si>
  <si>
    <t>I Love You to the Moon and Back</t>
  </si>
  <si>
    <t>Amelia Hepworth</t>
  </si>
  <si>
    <t>$3.97</t>
  </si>
  <si>
    <t>baby and up</t>
  </si>
  <si>
    <t>Dog Man: Twenty Thousand Fleas Under the Sea: A Graphic Novel (Dog Man #11): From the Creator of Captain Underpants</t>
  </si>
  <si>
    <t>Dav Pilkey</t>
  </si>
  <si>
    <t>$5.48</t>
  </si>
  <si>
    <t>7 years and up</t>
  </si>
  <si>
    <t>Comics &amp; Graphic Novels</t>
  </si>
  <si>
    <t>Things We Never Got Over (Knockemout)</t>
  </si>
  <si>
    <t>Lucy Score</t>
  </si>
  <si>
    <t>$9.77</t>
  </si>
  <si>
    <t>The Covenant of Water (Oprah's Book Club)</t>
  </si>
  <si>
    <t>Abraham Verghese</t>
  </si>
  <si>
    <t>$17.96</t>
  </si>
  <si>
    <t>Brown Bear, Brown Bear, What Do You See?</t>
  </si>
  <si>
    <t>Bill Martin Jr. , Eric Carle</t>
  </si>
  <si>
    <t>$4.82</t>
  </si>
  <si>
    <t>Baking Yesteryear: The Best Recipes from the 1900s to the 1980s</t>
  </si>
  <si>
    <t>B. Dylan Hollis</t>
  </si>
  <si>
    <t>$16.78</t>
  </si>
  <si>
    <t>Cookbooks &amp; Food</t>
  </si>
  <si>
    <t>I Love You Like No Otter: A Funny and Sweet Valentine's Day Board Book for Babies and Toddlers (Punderland)</t>
  </si>
  <si>
    <t>Rose Rossner</t>
  </si>
  <si>
    <t>$5.37</t>
  </si>
  <si>
    <t>Friends, Lovers, and the Big Terrible Thing</t>
  </si>
  <si>
    <t>Matthew Perry</t>
  </si>
  <si>
    <t>$10.83</t>
  </si>
  <si>
    <t>Humor &amp; Entertainment</t>
  </si>
  <si>
    <t>Rich Dad Poor Dad</t>
  </si>
  <si>
    <t>Robert T. Kiyosaki</t>
  </si>
  <si>
    <t>$7.34</t>
  </si>
  <si>
    <t>Business &amp; Money</t>
  </si>
  <si>
    <t>The Wager: A Tale of Shipwreck, Mutiny and Murder</t>
  </si>
  <si>
    <t>$14.47</t>
  </si>
  <si>
    <t>1 year and up</t>
  </si>
  <si>
    <t>Oh, the Places You'll Go!</t>
  </si>
  <si>
    <t xml:space="preserve">Dr. Seuss </t>
  </si>
  <si>
    <t>$8.64</t>
  </si>
  <si>
    <t>3 - 4 years</t>
  </si>
  <si>
    <t>My First Library: Boxset of 10 Board Books for Kids</t>
  </si>
  <si>
    <t>Wonder House Books</t>
  </si>
  <si>
    <t>$14.99</t>
  </si>
  <si>
    <t>If He Had Been with Me</t>
  </si>
  <si>
    <t>Laura Nowlin</t>
  </si>
  <si>
    <t>4.2 out of 5 stars</t>
  </si>
  <si>
    <t>$6.88</t>
  </si>
  <si>
    <t>Goodnight Moon</t>
  </si>
  <si>
    <t>Margaret Wise Brown, Clement Hurd</t>
  </si>
  <si>
    <t>$1.89</t>
  </si>
  <si>
    <t>Tomorrow, and Tomorrow, and Tomorrow</t>
  </si>
  <si>
    <t>Gabrielle Zevin</t>
  </si>
  <si>
    <t>$13.28</t>
  </si>
  <si>
    <t>World of Eric Carle, Around the Farm 30</t>
  </si>
  <si>
    <t>PI Kids</t>
  </si>
  <si>
    <t>The Wonderful Things You Will Be</t>
  </si>
  <si>
    <t>Emily Winfield Martin</t>
  </si>
  <si>
    <t>$9.45</t>
  </si>
  <si>
    <t>3 years and up</t>
  </si>
  <si>
    <t>Fourth Wing (Special Edition)</t>
  </si>
  <si>
    <t>$26.91</t>
  </si>
  <si>
    <t>The Silent Patient</t>
  </si>
  <si>
    <t>Alex Michaelides</t>
  </si>
  <si>
    <t>$2.39</t>
  </si>
  <si>
    <t>Remarkably Bright Creatures: A Read with Jenna Pick</t>
  </si>
  <si>
    <t>Shelby Van Pelt</t>
  </si>
  <si>
    <t>$14.53</t>
  </si>
  <si>
    <t>The Psychology of Money: Timeless lessons on wealth, greed, and happiness</t>
  </si>
  <si>
    <t>Morgan Housel</t>
  </si>
  <si>
    <t>$14.18</t>
  </si>
  <si>
    <t>The Shadow Work Journal</t>
  </si>
  <si>
    <t>Keila Shaheen</t>
  </si>
  <si>
    <t>$23.66</t>
  </si>
  <si>
    <t>Oath and Honor: A Memoir and a Warning</t>
  </si>
  <si>
    <t>Liz Cheney</t>
  </si>
  <si>
    <t>$14.78</t>
  </si>
  <si>
    <t>Where's Bluey?: A Search-and-Find Book</t>
  </si>
  <si>
    <t>Penguin Young Readers Licenses</t>
  </si>
  <si>
    <t>$2.70</t>
  </si>
  <si>
    <t>2 years and up</t>
  </si>
  <si>
    <t>Twisted Love</t>
  </si>
  <si>
    <t>Ana Huang</t>
  </si>
  <si>
    <t>Icebreaker</t>
  </si>
  <si>
    <t>Hannah Grace</t>
  </si>
  <si>
    <t>4.3 out of 5 stars</t>
  </si>
  <si>
    <t>$9.40</t>
  </si>
  <si>
    <t>Things We Hide from the Light</t>
  </si>
  <si>
    <t>$9.95</t>
  </si>
  <si>
    <t>Reminders of Him: A Novel</t>
  </si>
  <si>
    <t>A Court of Mist and Fury</t>
  </si>
  <si>
    <t>$12.16</t>
  </si>
  <si>
    <t>The Legend of Zelda™: Tears of the Kingdom – The Complete Official Guide: Collector's Edition</t>
  </si>
  <si>
    <t>Piggyback</t>
  </si>
  <si>
    <t>$20.19</t>
  </si>
  <si>
    <t>Computers &amp; Technology</t>
  </si>
  <si>
    <t>Elon Musk</t>
  </si>
  <si>
    <t>Walter Isaacson</t>
  </si>
  <si>
    <t>$19.93</t>
  </si>
  <si>
    <t>I Will Teach You to Be Rich: No Guilt. No Excuses. Just a 6-Week Program That Works (Second Edition)</t>
  </si>
  <si>
    <t>Ramit Sethi</t>
  </si>
  <si>
    <t>$10.17</t>
  </si>
  <si>
    <t>Haunting Adeline</t>
  </si>
  <si>
    <t>H. D. Carlton</t>
  </si>
  <si>
    <t>$17.18</t>
  </si>
  <si>
    <t>How to Catch a Dinosaur</t>
  </si>
  <si>
    <t>Adam Wallace</t>
  </si>
  <si>
    <t>$5.60</t>
  </si>
  <si>
    <t>Ugly Love: A Novel</t>
  </si>
  <si>
    <t>$8.91</t>
  </si>
  <si>
    <t>If Animals Kissed Good Night</t>
  </si>
  <si>
    <t>Ann Whitford Paul</t>
  </si>
  <si>
    <t>$4.23</t>
  </si>
  <si>
    <t>Happy Place</t>
  </si>
  <si>
    <t>Emily Henry</t>
  </si>
  <si>
    <t>$12.29</t>
  </si>
  <si>
    <t>Twisted Games</t>
  </si>
  <si>
    <t>$9.74</t>
  </si>
  <si>
    <t>Romance</t>
  </si>
  <si>
    <t>Chicka Chicka Boom Boom</t>
  </si>
  <si>
    <t>Bill Martin Jr.</t>
  </si>
  <si>
    <t>$4.17</t>
  </si>
  <si>
    <t>Hello Beautiful (Oprah's Book Club): A Novel</t>
  </si>
  <si>
    <t>Ann Napolitano</t>
  </si>
  <si>
    <t>$13.97</t>
  </si>
  <si>
    <t>The Democrat Party Hates America</t>
  </si>
  <si>
    <t>Mark R. Levin</t>
  </si>
  <si>
    <t>$13.47</t>
  </si>
  <si>
    <t>A Little Life</t>
  </si>
  <si>
    <t>Hanya Yanagihara</t>
  </si>
  <si>
    <t>$9.25</t>
  </si>
  <si>
    <t>Meditations</t>
  </si>
  <si>
    <t>Marcus Aurelius</t>
  </si>
  <si>
    <t>$8.18</t>
  </si>
  <si>
    <t>Holly</t>
  </si>
  <si>
    <t>Stephen King</t>
  </si>
  <si>
    <t>$13.98</t>
  </si>
  <si>
    <t>The Heaven &amp; Earth Grocery Store</t>
  </si>
  <si>
    <t>James McBride</t>
  </si>
  <si>
    <t>$15.05</t>
  </si>
  <si>
    <t>Scholastic Flash Cards: Sight Words</t>
  </si>
  <si>
    <t>Scholastic</t>
  </si>
  <si>
    <t>Cards</t>
  </si>
  <si>
    <t>$3.07</t>
  </si>
  <si>
    <t>4 years and up</t>
  </si>
  <si>
    <t>Schools &amp; Teaching</t>
  </si>
  <si>
    <t>Think and Grow Rich: The Landmark Bestseller Now Revised and Updated for the 21st Century (Think and Grow Rich Series)</t>
  </si>
  <si>
    <t>Napoleon Hill</t>
  </si>
  <si>
    <t>$8.24</t>
  </si>
  <si>
    <t>Daisy Jones &amp; The Six: Reese's Book Club: A Novel</t>
  </si>
  <si>
    <t>$9.33</t>
  </si>
  <si>
    <t>A Court of Thorns and Roses Paperback Box Set (5 books)</t>
  </si>
  <si>
    <t>$47.90</t>
  </si>
  <si>
    <t>How to Win Friends &amp; Influence People</t>
  </si>
  <si>
    <t xml:space="preserve">Dale Carnegie </t>
  </si>
  <si>
    <t>$15.44</t>
  </si>
  <si>
    <t>The Complete Cookbook for Young Chefs</t>
  </si>
  <si>
    <t>America’s Test Kitchen Kids</t>
  </si>
  <si>
    <t>The Boy, the Mole, the Fox and the Horse: Inspiring Conversations on Hope, Love and Personal Growth</t>
  </si>
  <si>
    <t>Charlie Mackesy</t>
  </si>
  <si>
    <t>$17.62</t>
  </si>
  <si>
    <t>Can't Hurt Me: Master Your Mind and Defy the Odds</t>
  </si>
  <si>
    <t>David Goggins</t>
  </si>
  <si>
    <t>$24.99</t>
  </si>
  <si>
    <t>The Complete Summer I Turned Pretty Trilogy (Boxed Set): The Summer I Turned Pretty; It's Not Summer Without You; We'll Always Have Summer</t>
  </si>
  <si>
    <t>Jenny Han</t>
  </si>
  <si>
    <t>$24.62</t>
  </si>
  <si>
    <t xml:space="preserve">12 years and up </t>
  </si>
  <si>
    <t>The Exchange: After The Firm (The Firm Series)</t>
  </si>
  <si>
    <t>John Grisham</t>
  </si>
  <si>
    <t>4.1 out of 5 stars</t>
  </si>
  <si>
    <t>$12.97</t>
  </si>
  <si>
    <t>Dragons Love Tacos</t>
  </si>
  <si>
    <t>Adam Rubin, Daniel Salmieri</t>
  </si>
  <si>
    <t>$9.82</t>
  </si>
  <si>
    <t>The Nightingale: A Novel</t>
  </si>
  <si>
    <t>Kristin Hannah</t>
  </si>
  <si>
    <t>$13.48</t>
  </si>
  <si>
    <t>Harry Potter Paperback Box Set</t>
  </si>
  <si>
    <t>J. K. Rowling, Mary GrandPre?</t>
  </si>
  <si>
    <t>$52.62</t>
  </si>
  <si>
    <t>9 years and up</t>
  </si>
  <si>
    <t>Adult Children of Emotionally Immature Parents</t>
  </si>
  <si>
    <t>Lindsay C. Gibson</t>
  </si>
  <si>
    <t>$10.21</t>
  </si>
  <si>
    <t>Stop Overthinking</t>
  </si>
  <si>
    <t>Nick Trenton</t>
  </si>
  <si>
    <t>$10.20</t>
  </si>
  <si>
    <t>A Court of Wings and Ruin</t>
  </si>
  <si>
    <t>$12.81</t>
  </si>
  <si>
    <t>The Subtle Art of Not Giving a F*ck</t>
  </si>
  <si>
    <t>Mark Manson</t>
  </si>
  <si>
    <t>$13.43</t>
  </si>
  <si>
    <t>American Prometheus</t>
  </si>
  <si>
    <t>Kai Bird, Martin J. Sherwin</t>
  </si>
  <si>
    <t>$14.71</t>
  </si>
  <si>
    <t>Fast Like a Girl</t>
  </si>
  <si>
    <t>Dr. Mindy Pelz</t>
  </si>
  <si>
    <t>The Shadow Work Journal 2nd Edition</t>
  </si>
  <si>
    <t>$21.74</t>
  </si>
  <si>
    <t>The Alchemist</t>
  </si>
  <si>
    <t>Paulo Coelho</t>
  </si>
  <si>
    <t>$5.03</t>
  </si>
  <si>
    <t>Love You Forever</t>
  </si>
  <si>
    <t>Robert Munsch, Sheila McGraw</t>
  </si>
  <si>
    <t>$4.98</t>
  </si>
  <si>
    <t>How to Catch a Unicorn</t>
  </si>
  <si>
    <t>Adam Wallace, Andy Elkerton</t>
  </si>
  <si>
    <t>$5.96</t>
  </si>
  <si>
    <t>All the Light We Cannot See</t>
  </si>
  <si>
    <t>Anthony Doerr</t>
  </si>
  <si>
    <t>$10.18</t>
  </si>
  <si>
    <t>The Ballad of Songbirds and Snakes</t>
  </si>
  <si>
    <t>Suzanne Collins</t>
  </si>
  <si>
    <t>What to Expect When You're Expecting</t>
  </si>
  <si>
    <t>Heidi Murkoff</t>
  </si>
  <si>
    <t>$9.43</t>
  </si>
  <si>
    <t>The Last Thing He Told Me</t>
  </si>
  <si>
    <t>Laura Dave</t>
  </si>
  <si>
    <t>$7.16</t>
  </si>
  <si>
    <t>From Crook to Cook: Platinum Recipes from Tha Boss Dogg's Kitchen (Snoop Dogg Cookbook, Celebrity Cookbook with Soul Food Recipes)</t>
  </si>
  <si>
    <t>Snoop Dogg</t>
  </si>
  <si>
    <t>$12.00</t>
  </si>
  <si>
    <t>The 5 Love Languages</t>
  </si>
  <si>
    <t>Gary Chapman</t>
  </si>
  <si>
    <t>My First Learn-to-Write Workbook: Practice for Kids with Pen Control, Line Tracing, Letters, and More!</t>
  </si>
  <si>
    <t>Crystal Radke</t>
  </si>
  <si>
    <t>$5.26</t>
  </si>
  <si>
    <t>How to Catch a Mermaid</t>
  </si>
  <si>
    <t>$5.71</t>
  </si>
  <si>
    <t>A Court of Frost and Starlight</t>
  </si>
  <si>
    <t>$12.74</t>
  </si>
  <si>
    <t>The Women: A Novel</t>
  </si>
  <si>
    <t>$20.50</t>
  </si>
  <si>
    <t>Onyx Storm (Wing and Claw Collection) (The Empyrean, 3)</t>
  </si>
  <si>
    <t>$8.03</t>
  </si>
  <si>
    <t>Hillbilly Elegy: A Memoir of a Family and Culture in Crisis</t>
  </si>
  <si>
    <t>J. D. Vance</t>
  </si>
  <si>
    <t>$13.51</t>
  </si>
  <si>
    <t>History</t>
  </si>
  <si>
    <t>Mom, I Want to Hear Your Story: A Mother’s Guided Journal To Share Her Life &amp; Her Love (Hear Your Story Books)</t>
  </si>
  <si>
    <t>Jeffrey Mason , Hear Your Story</t>
  </si>
  <si>
    <t>$11.95</t>
  </si>
  <si>
    <t>Parenting &amp; Relationships</t>
  </si>
  <si>
    <t>Dad, I Want to Hear Your Story: A Father’s Guided Journal To Share His Life &amp; His Love (Hear Your Story Books)</t>
  </si>
  <si>
    <t>Jeffrey Mason, Hear Your Story</t>
  </si>
  <si>
    <t>$8.79</t>
  </si>
  <si>
    <t>The Anxious Generation: How the Great Rewiring of Childhood Is Causing an Epidemic of Mental Illness</t>
  </si>
  <si>
    <t>Jonathan Haidt</t>
  </si>
  <si>
    <t>$14.01</t>
  </si>
  <si>
    <t>Good Energy: The Surprising Connection Between Metabolism and Limitless Health</t>
  </si>
  <si>
    <t>Casey Means MD</t>
  </si>
  <si>
    <t>$14.88</t>
  </si>
  <si>
    <t>Dog Man: The Scarlet Shedder: A Graphic Novel (Dog Man #12): From the Creator of Captain Underpants</t>
  </si>
  <si>
    <t>$8.38</t>
  </si>
  <si>
    <t>Melania</t>
  </si>
  <si>
    <t>Melania Trump</t>
  </si>
  <si>
    <t>$17.00</t>
  </si>
  <si>
    <t>How To Draw Everything: 300 Drawings of Cute Stuff, Animals, Food, Gifts, and other Amazing Things | Book For Kids</t>
  </si>
  <si>
    <t>Emma Greene</t>
  </si>
  <si>
    <t>$10.90</t>
  </si>
  <si>
    <t>6 years and up</t>
  </si>
  <si>
    <t>Hot Mess: A laugh-out-loud summer disaster from the #1 international bestselling Diary of a Wimpy Kid series (Book 19) (Volume 19)</t>
  </si>
  <si>
    <t>$2.69</t>
  </si>
  <si>
    <t>The Housemaid Is Watching</t>
  </si>
  <si>
    <t>$12.58</t>
  </si>
  <si>
    <t>Little Corner: Coloring Book for Adults and Teens, Super Cute Designs of Cozy, Hygge Spaces for Relaxation (Cozy Spaces Coloring)</t>
  </si>
  <si>
    <t>Coco Wyo</t>
  </si>
  <si>
    <t>16 years and up</t>
  </si>
  <si>
    <t>Cozy Friends: Coloring Book for Adults and Teens Featuring Super Cute Animal Characters with Easy and Simple Designs for Relaxation</t>
  </si>
  <si>
    <t>Stress Relief: Coloring Book for Adults and Kids, Bold and Easy, Simple and Big Designs for Relaxation Featuring Animals, Landscape, Flowers, Patterns, Cute Things And Many More</t>
  </si>
  <si>
    <t>14 years and up</t>
  </si>
  <si>
    <t>Don't Believe Everything You Think (Expanded Edition): Why Your Thinking Is The Beginning &amp; End Of Suffering (Books By Joseph Nguyen)</t>
  </si>
  <si>
    <t>Joseph Nguyen</t>
  </si>
  <si>
    <t>$12.54</t>
  </si>
  <si>
    <t>The Book of Bill</t>
  </si>
  <si>
    <t>Alex Hirsch</t>
  </si>
  <si>
    <t>$14.06</t>
  </si>
  <si>
    <t>The Bible in 52 Weeks: A Yearlong Bible Study for Women</t>
  </si>
  <si>
    <t>Dr. Kimberly D. Moore</t>
  </si>
  <si>
    <t>Bible Study &amp; Reference</t>
  </si>
  <si>
    <t>James (Pulitzer Prize Winner): A Novel</t>
  </si>
  <si>
    <t>Percival Everett</t>
  </si>
  <si>
    <t>$16.81</t>
  </si>
  <si>
    <t>Spooky Cutie: Coloring Book for Adults and Teens Featuring Adorable Creepy Creatures in Cozy Hygge Moments for Relaxation (Cozy Spaces Coloring)</t>
  </si>
  <si>
    <t>The New Menopause: Navigating Your Path Through Hormonal Change with Purpose, Power, and Facts</t>
  </si>
  <si>
    <t>Mary Claire Haver MD</t>
  </si>
  <si>
    <t>$19.58</t>
  </si>
  <si>
    <t>Never Lie</t>
  </si>
  <si>
    <t>$7.15</t>
  </si>
  <si>
    <t>The Big Book of Silly Jokes for Kids</t>
  </si>
  <si>
    <t>Carole P. Roman</t>
  </si>
  <si>
    <t>$5.44</t>
  </si>
  <si>
    <t>The Demon of Unrest: A Saga of Hubris, Heartbreak, and Heroism at the Dawn of the Civil War</t>
  </si>
  <si>
    <t>Erik Larson</t>
  </si>
  <si>
    <t>$16.49</t>
  </si>
  <si>
    <t>Difficult Riddles For Smart Kids</t>
  </si>
  <si>
    <t>M Prefontaine</t>
  </si>
  <si>
    <t>Holy Bible</t>
  </si>
  <si>
    <t>Christian Art Publishers</t>
  </si>
  <si>
    <t>Imitation Leather</t>
  </si>
  <si>
    <t>$25.64</t>
  </si>
  <si>
    <t>The Lost Book of Herbal Remedies</t>
  </si>
  <si>
    <t>Claude Davis, Nicole Apelian</t>
  </si>
  <si>
    <t>$36.00</t>
  </si>
  <si>
    <t>A Court of Silver Flames</t>
  </si>
  <si>
    <t>$9.98</t>
  </si>
  <si>
    <t>First Lie Wins</t>
  </si>
  <si>
    <t>Ashley Elston</t>
  </si>
  <si>
    <t>$3.00</t>
  </si>
  <si>
    <t>The Teacher</t>
  </si>
  <si>
    <t>$9.53</t>
  </si>
  <si>
    <t>Just for the Summer</t>
  </si>
  <si>
    <t>Abby Jimenez</t>
  </si>
  <si>
    <t>Fuzzy Hygge: Cute and Cozy Coloring Book</t>
  </si>
  <si>
    <t>Vivi Tinta</t>
  </si>
  <si>
    <t>$9.63</t>
  </si>
  <si>
    <t>All the Colors of the Dark</t>
  </si>
  <si>
    <t>Chris Whitaker</t>
  </si>
  <si>
    <t>$15.79</t>
  </si>
  <si>
    <t>The Let Them Theory: A Life-Changing Tool That Millions of People Can't Stop Talking About</t>
  </si>
  <si>
    <t>Mel Robbins, Sawyer Robbins</t>
  </si>
  <si>
    <t>Murdle: Volume 1</t>
  </si>
  <si>
    <t>G T Karber</t>
  </si>
  <si>
    <t>$12.84</t>
  </si>
  <si>
    <t>Hello, Baby Animals</t>
  </si>
  <si>
    <t>duopress labs, Julissa Mora</t>
  </si>
  <si>
    <t>$1.00</t>
  </si>
  <si>
    <t>8 Little Planets</t>
  </si>
  <si>
    <t>Chris Ferrie, Lizzy Doyle</t>
  </si>
  <si>
    <t>$5.18</t>
  </si>
  <si>
    <t>Be Ready When the Luck Happens</t>
  </si>
  <si>
    <t>Ina Garten</t>
  </si>
  <si>
    <t>$13.73</t>
  </si>
  <si>
    <t>Happy Birthday to You!</t>
  </si>
  <si>
    <t>Dr. Seuss</t>
  </si>
  <si>
    <t>$9.49</t>
  </si>
  <si>
    <t>The Rainbow Fish</t>
  </si>
  <si>
    <t>Marcus Pfister</t>
  </si>
  <si>
    <t>$4.70</t>
  </si>
  <si>
    <t>Wind and Truth: Book Five of the Stormlight Archive</t>
  </si>
  <si>
    <t>Brandon Sanderson</t>
  </si>
  <si>
    <t>$19.99</t>
  </si>
  <si>
    <t>If Only I Had Told Her</t>
  </si>
  <si>
    <t>$6.34</t>
  </si>
  <si>
    <t>15 years and up</t>
  </si>
  <si>
    <t>Fahrenheit 451</t>
  </si>
  <si>
    <t>Ray Bradbury</t>
  </si>
  <si>
    <t>$9.05</t>
  </si>
  <si>
    <t>1984</t>
  </si>
  <si>
    <t>George Orwell</t>
  </si>
  <si>
    <t>$5.99</t>
  </si>
  <si>
    <t>The God of the Woods</t>
  </si>
  <si>
    <t>Liz Moore</t>
  </si>
  <si>
    <t>$15.35</t>
  </si>
  <si>
    <t>The Hardest Hidden Pictures Book Ever</t>
  </si>
  <si>
    <t>Highlights</t>
  </si>
  <si>
    <t>$6.70</t>
  </si>
  <si>
    <t>Bluey: Big Backyard: A Coloring Book</t>
  </si>
  <si>
    <t>$2.65</t>
  </si>
  <si>
    <t>The Action Bible: God's Redemptive Story</t>
  </si>
  <si>
    <t>Sergio Cariello</t>
  </si>
  <si>
    <t>$24.34</t>
  </si>
  <si>
    <t>The Book of Unusual Knowledge: Big Book of Fascinating Facts &amp; Information | Hardcover Gift for Trivia Buffs, Curious Minds, Adults, Dad &amp; Knowledge Seekers</t>
  </si>
  <si>
    <t>Publications International Ltd.</t>
  </si>
  <si>
    <t>Engineering</t>
  </si>
  <si>
    <t>The Great Alone</t>
  </si>
  <si>
    <t>$10.45</t>
  </si>
  <si>
    <t>Throne of Glass</t>
  </si>
  <si>
    <t>$10.70</t>
  </si>
  <si>
    <t>The Lost Bookshop</t>
  </si>
  <si>
    <t>Evie Woods</t>
  </si>
  <si>
    <t>$4.99</t>
  </si>
  <si>
    <t>Sunrise on the Reaping (The Hunger Games)</t>
  </si>
  <si>
    <t>12 years and up</t>
  </si>
  <si>
    <t>Forgotten Home Apothecary : 250 Powerful Remedies at Your Fingertips</t>
  </si>
  <si>
    <t>Dr. Nicole Apelian</t>
  </si>
  <si>
    <t>$37.01</t>
  </si>
  <si>
    <t>World of Eric Carle, Around the Farm 30-Button Animal Sound Book - Great for First Words - PI Kids</t>
  </si>
  <si>
    <t>Partypooper: A side-splitting birthday disaster from the #1 international bestselling Diary of a Wimpy Kid series (Book 20) (Volume 20)</t>
  </si>
  <si>
    <t>$10.97</t>
  </si>
  <si>
    <t>Friendship &amp; Social Skills &amp; School Life</t>
  </si>
  <si>
    <t>The Frozen River: A GMA Book Club Pick: A Novel</t>
  </si>
  <si>
    <t>Ariel Lawhon</t>
  </si>
  <si>
    <t>Dog Man: Big Jim Believes: A Graphic Novel (Dog Man #14): From the Creator of Captain Underpants</t>
  </si>
  <si>
    <t>$9.42</t>
  </si>
  <si>
    <t>The Secret of Secrets: A Novel (Robert Langdon)</t>
  </si>
  <si>
    <t>Dan Brown</t>
  </si>
  <si>
    <t>$14.00</t>
  </si>
  <si>
    <t>Girl Moments: Coloring Book for Adults and Teens Featuring Cute Cozy Daily Activities for Relaxation (Cozy Spaces Coloring)</t>
  </si>
  <si>
    <t>The Housemaid's Secret</t>
  </si>
  <si>
    <t>How to Test Negative for Stupid: And Why Washington Never Will?A Senator's Funny and Perceptive Takedown of Washington Politics</t>
  </si>
  <si>
    <t>John Kennedy</t>
  </si>
  <si>
    <t>$20.98</t>
  </si>
  <si>
    <t>INNER EXCELLENCE: Train Your Mind for Extraordinary Performance and the Best Possible life</t>
  </si>
  <si>
    <t>JIM MURPHY</t>
  </si>
  <si>
    <t>Would You Rather Book For Kids - 300+ Hilarious, Silly, and Challenging Questions To Make You Laugh</t>
  </si>
  <si>
    <t>Stephen J. Ellis</t>
  </si>
  <si>
    <t>Project Hail Mary: A Novel</t>
  </si>
  <si>
    <t>Andy Weir</t>
  </si>
  <si>
    <t>Stop, in the Name of God: Why Honoring the Sabbath Will Transform Your Life</t>
  </si>
  <si>
    <t>Charlie Kirk</t>
  </si>
  <si>
    <t>$29.99</t>
  </si>
  <si>
    <t>Broken Country (Reese's Book Club)</t>
  </si>
  <si>
    <t>Clare Leslie Hall</t>
  </si>
  <si>
    <t>$15.43</t>
  </si>
  <si>
    <t>The Widow: A Novel</t>
  </si>
  <si>
    <t>$13.87</t>
  </si>
  <si>
    <t>Large Print Easy Color &amp; Frame - Calm (Stress Free Coloring Book)</t>
  </si>
  <si>
    <t>New Seasons</t>
  </si>
  <si>
    <t>Spiral-bound</t>
  </si>
  <si>
    <t>$6.42</t>
  </si>
  <si>
    <t>The Screaming Goat (Book &amp; Figure)</t>
  </si>
  <si>
    <t>Running Press</t>
  </si>
  <si>
    <t>$7.96</t>
  </si>
  <si>
    <t>The Wedding People: A Novel</t>
  </si>
  <si>
    <t>Alison Espach</t>
  </si>
  <si>
    <t>$19.23</t>
  </si>
  <si>
    <t>107 Days</t>
  </si>
  <si>
    <t>Kamala Harris</t>
  </si>
  <si>
    <t>$15.18</t>
  </si>
  <si>
    <t>The Hardest Hidden Pictures Book Ever: Ultra-Challenging Brain Games for Kids Ages 8-12, Advanced Seek and Find Puzzles Book with Over 1,500 Hidden Objects to Find (Highlights Hidden Pictures)</t>
  </si>
  <si>
    <t>Potty Time with Bean</t>
  </si>
  <si>
    <t>Ms. Rachel, Monique Dong</t>
  </si>
  <si>
    <t>$8.77</t>
  </si>
  <si>
    <t>The Tenant</t>
  </si>
  <si>
    <t>$4.47</t>
  </si>
  <si>
    <t>Where's Spot?: A Lift-the-Flap Book</t>
  </si>
  <si>
    <t>Eric Hill</t>
  </si>
  <si>
    <t>$4.50</t>
  </si>
  <si>
    <t>Animal Farm</t>
  </si>
  <si>
    <t>$6.49</t>
  </si>
  <si>
    <t>The Going To Bed Book</t>
  </si>
  <si>
    <t xml:space="preserve">Sandra Boynton </t>
  </si>
  <si>
    <t>$3.86</t>
  </si>
  <si>
    <t>The Beginner's Bible: Timeless Children's Stories</t>
  </si>
  <si>
    <t>The Beginner's Bible</t>
  </si>
  <si>
    <t>$10.93</t>
  </si>
  <si>
    <t>Nobody's Girl: A Memoir of Surviving Abuse and Fighting for Justice</t>
  </si>
  <si>
    <t>Virginia Roberts Giuffre</t>
  </si>
  <si>
    <t>$16.45</t>
  </si>
  <si>
    <t>The Crash</t>
  </si>
  <si>
    <t>Dog Man: Big Jim Begins: A Graphic Novel (Dog Man #13): From the Creator of Captain Underpants</t>
  </si>
  <si>
    <t>$5.64</t>
  </si>
  <si>
    <t>Man's Search for Meaning</t>
  </si>
  <si>
    <t>Viktor E. Frankl</t>
  </si>
  <si>
    <t>$12.86</t>
  </si>
  <si>
    <t>1929: Inside the Greatest Crash in Wall Street History--and How It Shattered a Nation</t>
  </si>
  <si>
    <t>Andrew Ross Sorkin</t>
  </si>
  <si>
    <t>$9.59</t>
  </si>
  <si>
    <t>Brimstone</t>
  </si>
  <si>
    <t>Callie Hart</t>
  </si>
  <si>
    <t>$18.12</t>
  </si>
  <si>
    <t>A Navy SEAL's Bug-In Guide: How to Turn Your House into the Safest Place on Earth</t>
  </si>
  <si>
    <t>Joel Lambert</t>
  </si>
  <si>
    <t>$37.00</t>
  </si>
  <si>
    <t>Why a Daughter Needs a Dad</t>
  </si>
  <si>
    <t>Gregory E. Lang</t>
  </si>
  <si>
    <t>$5.72</t>
  </si>
  <si>
    <t>My Friends</t>
  </si>
  <si>
    <t>Fredrik Backman</t>
  </si>
  <si>
    <t>Lots of Knock-Knock Jokes for Kids</t>
  </si>
  <si>
    <t>Whee Winn</t>
  </si>
  <si>
    <t>$3.99</t>
  </si>
  <si>
    <t>See You Later, Alligator</t>
  </si>
  <si>
    <t xml:space="preserve">Sally Hopgood,  Emma Levey </t>
  </si>
  <si>
    <t>Magic Tree House Boxed Set, Books 1-4</t>
  </si>
  <si>
    <t>Mary Pope Osborne, Sal Murdocca</t>
  </si>
  <si>
    <t>$14.98</t>
  </si>
  <si>
    <t>A People's History of the United States</t>
  </si>
  <si>
    <t>Howard Zinn</t>
  </si>
  <si>
    <t>$17.98</t>
  </si>
  <si>
    <t>Bob Books</t>
  </si>
  <si>
    <t>Bobby Lynn Maslen</t>
  </si>
  <si>
    <t>$14.13</t>
  </si>
  <si>
    <t>Alchemised</t>
  </si>
  <si>
    <t>SenLinYu</t>
  </si>
  <si>
    <t>$9.64</t>
  </si>
  <si>
    <t>The Next Conversation: Argue Less, Talk More</t>
  </si>
  <si>
    <t>Jefferson Fisher</t>
  </si>
  <si>
    <t>$9.65</t>
  </si>
  <si>
    <t>A Beautiful Year in the Bible:</t>
  </si>
  <si>
    <t xml:space="preserve">Alabaster Co. </t>
  </si>
  <si>
    <t>$26.88</t>
  </si>
  <si>
    <t>Iron Flame</t>
  </si>
  <si>
    <t>Reviews Count</t>
  </si>
  <si>
    <t>Form</t>
  </si>
  <si>
    <t>Price</t>
  </si>
  <si>
    <t>Rating F</t>
  </si>
  <si>
    <t>Price F($)</t>
  </si>
  <si>
    <t>Id_2024</t>
  </si>
  <si>
    <t>Id_2023</t>
  </si>
  <si>
    <t>Id_2025</t>
  </si>
  <si>
    <t>Prince Harry  The Duke Of Sussex</t>
  </si>
  <si>
    <t>Bessel Van Der Kolk M.D.</t>
  </si>
  <si>
    <t>Peter Attia Md</t>
  </si>
  <si>
    <t>Freida Mcfadden</t>
  </si>
  <si>
    <t>Pi Kids</t>
  </si>
  <si>
    <t>James Mcbride</t>
  </si>
  <si>
    <t>America’S Test Kitchen Kids</t>
  </si>
  <si>
    <t>J. K. Rowling, Mary Grandpre?</t>
  </si>
  <si>
    <t>Robert Munsch, Sheila Mcgraw</t>
  </si>
  <si>
    <t>Casey Means Md</t>
  </si>
  <si>
    <t>Mary Claire Haver Md</t>
  </si>
  <si>
    <t>Duopress Labs, Julissa Mora</t>
  </si>
  <si>
    <t>Jim Murphy</t>
  </si>
  <si>
    <t>The Beginner'S Bible</t>
  </si>
  <si>
    <t>Senlinyu</t>
  </si>
  <si>
    <t>0</t>
  </si>
  <si>
    <t>Rating_Category</t>
  </si>
  <si>
    <t>Pricing_Category</t>
  </si>
  <si>
    <t>Grand Total</t>
  </si>
  <si>
    <t>Author Performance</t>
  </si>
  <si>
    <t>Average of Rating F</t>
  </si>
  <si>
    <t>Authors</t>
  </si>
  <si>
    <t>Average of Price F($)</t>
  </si>
  <si>
    <t>Format</t>
  </si>
  <si>
    <t>Author &amp; Genre Analysis:</t>
  </si>
  <si>
    <t>Format &amp; Pricing Distribution:</t>
  </si>
  <si>
    <t>Reader Sentiment &amp; Quality:</t>
  </si>
  <si>
    <t>Sum of Reviews Count</t>
  </si>
  <si>
    <t>Average of Reviews Count</t>
  </si>
  <si>
    <t>Count of Book name</t>
  </si>
  <si>
    <t>High</t>
  </si>
  <si>
    <t>Low</t>
  </si>
  <si>
    <t>Medium</t>
  </si>
  <si>
    <t>Count of Book name2</t>
  </si>
  <si>
    <t>(All)</t>
  </si>
  <si>
    <t>Price VS Rating</t>
  </si>
  <si>
    <t>Count of Rating_Category</t>
  </si>
  <si>
    <t>Budget</t>
  </si>
  <si>
    <t>Mid</t>
  </si>
  <si>
    <t>Premium</t>
  </si>
  <si>
    <t>Pricing Category</t>
  </si>
  <si>
    <t>Best-Selling Books Analysis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</si>
  <si>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</si>
  <si>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</si>
  <si>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</si>
  <si>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</si>
  <si>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</si>
  <si>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</si>
  <si>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</si>
  <si>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</si>
  <si>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</si>
  <si>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</si>
  <si>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</si>
  <si>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</si>
  <si>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</si>
  <si>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 of Books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</si>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</sst>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74999237037263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4" borderId="0" xfId="0" applyFill="1"/>
    <xf numFmtId="0" fontId="0" fillId="0" borderId="2" xfId="0" applyBorder="1"/>
    <xf numFmtId="164" fontId="0" fillId="0" borderId="0" xfId="0" applyNumberFormat="1"/>
    <xf numFmtId="164" fontId="0" fillId="4" borderId="0" xfId="0" applyNumberFormat="1" applyFill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3" fillId="0" borderId="0" xfId="0" applyFont="1"/>
    <xf numFmtId="165" fontId="0" fillId="0" borderId="2" xfId="0" applyNumberFormat="1" applyBorder="1"/>
    <xf numFmtId="10" fontId="0" fillId="0" borderId="2" xfId="0" applyNumberFormat="1" applyBorder="1"/>
    <xf numFmtId="0" fontId="5" fillId="0" borderId="0" xfId="0" applyFont="1" applyAlignment="1">
      <alignment vertical="center"/>
    </xf>
    <xf numFmtId="1" fontId="0" fillId="0" borderId="2" xfId="0" applyNumberFormat="1" applyBorder="1"/>
    <xf numFmtId="0" fontId="0" fillId="0" borderId="2" xfId="0" applyBorder="1" applyAlignment="1">
      <alignment horizontal="left" indent="1"/>
    </xf>
    <xf numFmtId="9" fontId="0" fillId="0" borderId="2" xfId="0" applyNumberFormat="1" applyBorder="1"/>
    <xf numFmtId="0" fontId="0" fillId="6" borderId="0" xfId="0" applyFill="1"/>
    <xf numFmtId="0" fontId="6" fillId="6" borderId="0" xfId="0" applyFont="1" applyFill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5" borderId="2" xfId="0" applyFont="1" applyFill="1" applyBorder="1"/>
    <xf numFmtId="0" fontId="4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7" fillId="0" borderId="3" xfId="0" applyFont="1" applyFill="1" applyBorder="1" applyAlignment="1">
      <alignment horizontal="centerContinuous"/>
    </xf>
    <xf numFmtId="0" fontId="7" fillId="0" borderId="4" xfId="0" applyFont="1" applyFill="1" applyBorder="1" applyAlignment="1">
      <alignment horizontal="centerContinuous"/>
    </xf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</cellXfs>
  <cellStyles count="1">
    <cellStyle name="Normal" xfId="0" builtinId="0"/>
  </cellStyles>
  <dxfs count="87">
    <dxf>
      <font>
        <color rgb="FF006100"/>
      </font>
      <fill>
        <patternFill>
          <bgColor rgb="FFC6EFCE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5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&quot;₹&quot;\ #,##0.00"/>
      <fill>
        <patternFill patternType="solid">
          <fgColor indexed="64"/>
          <bgColor theme="5" tint="0.59999389629810485"/>
        </patternFill>
      </fill>
    </dxf>
    <dxf>
      <numFmt numFmtId="164" formatCode="&quot;₹&quot;\ #,##0.00"/>
    </dxf>
    <dxf>
      <numFmt numFmtId="0" formatCode="General"/>
    </dxf>
    <dxf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[Books_Dataset.xlsx]Pivot_tables!Format &amp; Pricing Distribution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</a:t>
            </a:r>
            <a:r>
              <a:rPr lang="en-US" baseline="0"/>
              <a:t> &amp; Pricing Distribution</a:t>
            </a:r>
            <a:endParaRPr lang="en-US"/>
          </a:p>
        </c:rich>
      </c:tx>
      <c:layout>
        <c:manualLayout>
          <c:xMode val="edge"/>
          <c:yMode val="edge"/>
          <c:x val="1.9467918622848197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>
              <a:shade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0657276995305152"/>
              <c:y val="7.870370370370370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>
              <a:shade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7558685446009391E-2"/>
              <c:y val="0.240740740740740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>
              <a:shade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298904538341159E-2"/>
              <c:y val="0.1388888888888889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>
              <a:tint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2519561815336464"/>
              <c:y val="-2.314814814814814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>
              <a:tint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>
              <a:tint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9092331768388107"/>
              <c:y val="0.111111111111111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>
              <a:shade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>
              <a:shade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>
              <a:shade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>
              <a:tint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tint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>
              <a:tint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9075146778722478E-2"/>
          <c:y val="9.907538265219297E-2"/>
          <c:w val="0.83842493503773374"/>
          <c:h val="0.83842471552752884"/>
        </c:manualLayout>
      </c:layout>
      <c:pieChart>
        <c:varyColors val="1"/>
        <c:ser>
          <c:idx val="0"/>
          <c:order val="0"/>
          <c:tx>
            <c:strRef>
              <c:f>Pivot_tables!$B$328</c:f>
              <c:strCache>
                <c:ptCount val="1"/>
                <c:pt idx="0">
                  <c:v>Count of Book name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DF-4179-AF10-35933B57DB6A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DF-4179-AF10-35933B57DB6A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DF-4179-AF10-35933B57DB6A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9DF-4179-AF10-35933B57DB6A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DF-4179-AF10-35933B57DB6A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9DF-4179-AF10-35933B57DB6A}"/>
              </c:ext>
            </c:extLst>
          </c:dPt>
          <c:dLbls>
            <c:dLbl>
              <c:idx val="0"/>
              <c:layout>
                <c:manualLayout>
                  <c:x val="0.20657276995305152"/>
                  <c:y val="7.87037037037037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DF-4179-AF10-35933B57DB6A}"/>
                </c:ext>
              </c:extLst>
            </c:dLbl>
            <c:dLbl>
              <c:idx val="1"/>
              <c:layout>
                <c:manualLayout>
                  <c:x val="-3.7558685446009391E-2"/>
                  <c:y val="0.240740740740740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DF-4179-AF10-35933B57DB6A}"/>
                </c:ext>
              </c:extLst>
            </c:dLbl>
            <c:dLbl>
              <c:idx val="2"/>
              <c:layout>
                <c:manualLayout>
                  <c:x val="-3.1298904538341159E-2"/>
                  <c:y val="0.1388888888888889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DF-4179-AF10-35933B57DB6A}"/>
                </c:ext>
              </c:extLst>
            </c:dLbl>
            <c:dLbl>
              <c:idx val="3"/>
              <c:layout>
                <c:manualLayout>
                  <c:x val="-0.12519561815336464"/>
                  <c:y val="-2.31481481481481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DF-4179-AF10-35933B57DB6A}"/>
                </c:ext>
              </c:extLst>
            </c:dLbl>
            <c:dLbl>
              <c:idx val="5"/>
              <c:layout>
                <c:manualLayout>
                  <c:x val="-0.19092331768388107"/>
                  <c:y val="0.111111111111111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DF-4179-AF10-35933B57DB6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Pivot_tables!$A$329:$A$335</c:f>
              <c:strCache>
                <c:ptCount val="6"/>
                <c:pt idx="0">
                  <c:v>Board book</c:v>
                </c:pt>
                <c:pt idx="1">
                  <c:v>Cards</c:v>
                </c:pt>
                <c:pt idx="2">
                  <c:v>Hardcover</c:v>
                </c:pt>
                <c:pt idx="3">
                  <c:v>Imitation Leather</c:v>
                </c:pt>
                <c:pt idx="4">
                  <c:v>Paperback</c:v>
                </c:pt>
                <c:pt idx="5">
                  <c:v>Spiral-bound</c:v>
                </c:pt>
              </c:strCache>
            </c:strRef>
          </c:cat>
          <c:val>
            <c:numRef>
              <c:f>Pivot_tables!$B$329:$B$335</c:f>
              <c:numCache>
                <c:formatCode>General</c:formatCode>
                <c:ptCount val="6"/>
                <c:pt idx="0">
                  <c:v>15</c:v>
                </c:pt>
                <c:pt idx="1">
                  <c:v>1</c:v>
                </c:pt>
                <c:pt idx="2">
                  <c:v>81</c:v>
                </c:pt>
                <c:pt idx="3">
                  <c:v>1</c:v>
                </c:pt>
                <c:pt idx="4">
                  <c:v>97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DF-4179-AF10-35933B57DB6A}"/>
            </c:ext>
          </c:extLst>
        </c:ser>
        <c:ser>
          <c:idx val="1"/>
          <c:order val="1"/>
          <c:tx>
            <c:strRef>
              <c:f>Pivot_tables!$C$328</c:f>
              <c:strCache>
                <c:ptCount val="1"/>
                <c:pt idx="0">
                  <c:v>Average of Price F($)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9DF-4179-AF10-35933B57DB6A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9DF-4179-AF10-35933B57DB6A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9DF-4179-AF10-35933B57DB6A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9DF-4179-AF10-35933B57DB6A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59DF-4179-AF10-35933B57DB6A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59DF-4179-AF10-35933B57DB6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Pivot_tables!$A$329:$A$335</c:f>
              <c:strCache>
                <c:ptCount val="6"/>
                <c:pt idx="0">
                  <c:v>Board book</c:v>
                </c:pt>
                <c:pt idx="1">
                  <c:v>Cards</c:v>
                </c:pt>
                <c:pt idx="2">
                  <c:v>Hardcover</c:v>
                </c:pt>
                <c:pt idx="3">
                  <c:v>Imitation Leather</c:v>
                </c:pt>
                <c:pt idx="4">
                  <c:v>Paperback</c:v>
                </c:pt>
                <c:pt idx="5">
                  <c:v>Spiral-bound</c:v>
                </c:pt>
              </c:strCache>
            </c:strRef>
          </c:cat>
          <c:val>
            <c:numRef>
              <c:f>Pivot_tables!$C$329:$C$335</c:f>
              <c:numCache>
                <c:formatCode>0.00%</c:formatCode>
                <c:ptCount val="6"/>
                <c:pt idx="0">
                  <c:v>0.48804667288252745</c:v>
                </c:pt>
                <c:pt idx="1">
                  <c:v>0.2561786080729555</c:v>
                </c:pt>
                <c:pt idx="2">
                  <c:v>1.1053271965243745</c:v>
                </c:pt>
                <c:pt idx="3">
                  <c:v>2.1395503293128924</c:v>
                </c:pt>
                <c:pt idx="4">
                  <c:v>0.99192109289244401</c:v>
                </c:pt>
                <c:pt idx="5">
                  <c:v>0.53572204033497539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9DF-4179-AF10-35933B57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Reader</a:t>
            </a:r>
            <a:r>
              <a:rPr lang="en-US" baseline="0"/>
              <a:t> Sentiment &amp; Quality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14245045045045046"/>
          <c:w val="0.83759973753280836"/>
          <c:h val="0.77395218840888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Pivot_tables!$F$3</c:f>
              <c:strCache>
                <c:ptCount val="1"/>
                <c:pt idx="0">
                  <c:v>Sum of Reviews Count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Pivot_tables!$E$4:$E$155</c:f>
              <c:numCache>
                <c:formatCode>0.0</c:formatCode>
                <c:ptCount val="152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  <c:pt idx="30">
                  <c:v>4.8</c:v>
                </c:pt>
                <c:pt idx="31">
                  <c:v>4.8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</c:v>
                </c:pt>
                <c:pt idx="38">
                  <c:v>4.8</c:v>
                </c:pt>
                <c:pt idx="39">
                  <c:v>4.8</c:v>
                </c:pt>
                <c:pt idx="40">
                  <c:v>4.8</c:v>
                </c:pt>
                <c:pt idx="41">
                  <c:v>4.8</c:v>
                </c:pt>
                <c:pt idx="42">
                  <c:v>4.8</c:v>
                </c:pt>
                <c:pt idx="43">
                  <c:v>4.8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4.7750000000000004</c:v>
                </c:pt>
                <c:pt idx="55">
                  <c:v>4.7</c:v>
                </c:pt>
                <c:pt idx="56">
                  <c:v>4.7</c:v>
                </c:pt>
                <c:pt idx="57">
                  <c:v>4.7</c:v>
                </c:pt>
                <c:pt idx="58">
                  <c:v>4.7</c:v>
                </c:pt>
                <c:pt idx="59">
                  <c:v>4.7</c:v>
                </c:pt>
                <c:pt idx="60">
                  <c:v>4.7</c:v>
                </c:pt>
                <c:pt idx="61">
                  <c:v>4.7</c:v>
                </c:pt>
                <c:pt idx="62">
                  <c:v>4.7</c:v>
                </c:pt>
                <c:pt idx="63">
                  <c:v>4.7</c:v>
                </c:pt>
                <c:pt idx="64">
                  <c:v>4.7</c:v>
                </c:pt>
                <c:pt idx="65">
                  <c:v>4.7</c:v>
                </c:pt>
                <c:pt idx="66">
                  <c:v>4.7</c:v>
                </c:pt>
                <c:pt idx="67">
                  <c:v>4.7</c:v>
                </c:pt>
                <c:pt idx="68">
                  <c:v>4.7</c:v>
                </c:pt>
                <c:pt idx="69">
                  <c:v>4.7</c:v>
                </c:pt>
                <c:pt idx="70">
                  <c:v>4.7</c:v>
                </c:pt>
                <c:pt idx="71">
                  <c:v>4.7</c:v>
                </c:pt>
                <c:pt idx="72">
                  <c:v>4.7</c:v>
                </c:pt>
                <c:pt idx="73">
                  <c:v>4.7</c:v>
                </c:pt>
                <c:pt idx="74">
                  <c:v>4.7</c:v>
                </c:pt>
                <c:pt idx="75">
                  <c:v>4.7</c:v>
                </c:pt>
                <c:pt idx="76">
                  <c:v>4.7</c:v>
                </c:pt>
                <c:pt idx="77">
                  <c:v>4.7</c:v>
                </c:pt>
                <c:pt idx="78">
                  <c:v>4.7</c:v>
                </c:pt>
                <c:pt idx="79">
                  <c:v>4.7</c:v>
                </c:pt>
                <c:pt idx="80">
                  <c:v>4.7</c:v>
                </c:pt>
                <c:pt idx="81">
                  <c:v>4.7</c:v>
                </c:pt>
                <c:pt idx="82">
                  <c:v>4.7</c:v>
                </c:pt>
                <c:pt idx="83">
                  <c:v>4.7</c:v>
                </c:pt>
                <c:pt idx="84">
                  <c:v>4.7</c:v>
                </c:pt>
                <c:pt idx="85">
                  <c:v>4.7</c:v>
                </c:pt>
                <c:pt idx="86">
                  <c:v>4.7</c:v>
                </c:pt>
                <c:pt idx="87">
                  <c:v>4.7</c:v>
                </c:pt>
                <c:pt idx="88">
                  <c:v>4.6749999999999989</c:v>
                </c:pt>
                <c:pt idx="89">
                  <c:v>4.666666666666667</c:v>
                </c:pt>
                <c:pt idx="90">
                  <c:v>4.6500000000000004</c:v>
                </c:pt>
                <c:pt idx="91">
                  <c:v>4.6428571428571432</c:v>
                </c:pt>
                <c:pt idx="92">
                  <c:v>4.62</c:v>
                </c:pt>
                <c:pt idx="93">
                  <c:v>4.5999999999999996</c:v>
                </c:pt>
                <c:pt idx="94">
                  <c:v>4.5999999999999996</c:v>
                </c:pt>
                <c:pt idx="95">
                  <c:v>4.5999999999999996</c:v>
                </c:pt>
                <c:pt idx="96">
                  <c:v>4.5999999999999996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4.5999999999999996</c:v>
                </c:pt>
                <c:pt idx="109">
                  <c:v>4.5999999999999996</c:v>
                </c:pt>
                <c:pt idx="110">
                  <c:v>4.5999999999999996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4.5999999999999996</c:v>
                </c:pt>
                <c:pt idx="114">
                  <c:v>4.5999999999999996</c:v>
                </c:pt>
                <c:pt idx="115">
                  <c:v>4.5999999999999996</c:v>
                </c:pt>
                <c:pt idx="116">
                  <c:v>4.5999999999999996</c:v>
                </c:pt>
                <c:pt idx="117">
                  <c:v>4.5999999999999996</c:v>
                </c:pt>
                <c:pt idx="118">
                  <c:v>4.5999999999999996</c:v>
                </c:pt>
                <c:pt idx="119">
                  <c:v>4.5999999999999996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4.5</c:v>
                </c:pt>
                <c:pt idx="130">
                  <c:v>4.45</c:v>
                </c:pt>
                <c:pt idx="131">
                  <c:v>4.4000000000000004</c:v>
                </c:pt>
                <c:pt idx="132">
                  <c:v>4.4000000000000004</c:v>
                </c:pt>
                <c:pt idx="133">
                  <c:v>4.4000000000000004</c:v>
                </c:pt>
                <c:pt idx="134">
                  <c:v>4.4000000000000004</c:v>
                </c:pt>
                <c:pt idx="135">
                  <c:v>4.4000000000000004</c:v>
                </c:pt>
                <c:pt idx="136">
                  <c:v>4.4000000000000004</c:v>
                </c:pt>
                <c:pt idx="137">
                  <c:v>4.4000000000000004</c:v>
                </c:pt>
                <c:pt idx="138">
                  <c:v>4.4000000000000004</c:v>
                </c:pt>
                <c:pt idx="139">
                  <c:v>4.4000000000000004</c:v>
                </c:pt>
                <c:pt idx="140">
                  <c:v>4.4000000000000004</c:v>
                </c:pt>
                <c:pt idx="141">
                  <c:v>4.4000000000000004</c:v>
                </c:pt>
                <c:pt idx="142">
                  <c:v>4.4000000000000004</c:v>
                </c:pt>
                <c:pt idx="143">
                  <c:v>4.3571428571428568</c:v>
                </c:pt>
                <c:pt idx="144">
                  <c:v>4.3000000000000007</c:v>
                </c:pt>
                <c:pt idx="145">
                  <c:v>4.3</c:v>
                </c:pt>
                <c:pt idx="146">
                  <c:v>4.3</c:v>
                </c:pt>
                <c:pt idx="147">
                  <c:v>4.3</c:v>
                </c:pt>
                <c:pt idx="148">
                  <c:v>4.3</c:v>
                </c:pt>
                <c:pt idx="149">
                  <c:v>4.25</c:v>
                </c:pt>
                <c:pt idx="150">
                  <c:v>4.25</c:v>
                </c:pt>
                <c:pt idx="151">
                  <c:v>4.2</c:v>
                </c:pt>
              </c:numCache>
            </c:numRef>
          </c:xVal>
          <c:yVal>
            <c:numRef>
              <c:f>Pivot_tables!$F$4:$F$155</c:f>
              <c:numCache>
                <c:formatCode>0</c:formatCode>
                <c:ptCount val="152"/>
                <c:pt idx="0">
                  <c:v>31124</c:v>
                </c:pt>
                <c:pt idx="1">
                  <c:v>19727</c:v>
                </c:pt>
                <c:pt idx="2">
                  <c:v>32274</c:v>
                </c:pt>
                <c:pt idx="3">
                  <c:v>80263</c:v>
                </c:pt>
                <c:pt idx="4">
                  <c:v>9344</c:v>
                </c:pt>
                <c:pt idx="5">
                  <c:v>13217</c:v>
                </c:pt>
                <c:pt idx="6">
                  <c:v>14622</c:v>
                </c:pt>
                <c:pt idx="7">
                  <c:v>41314</c:v>
                </c:pt>
                <c:pt idx="8">
                  <c:v>78436</c:v>
                </c:pt>
                <c:pt idx="9">
                  <c:v>55794</c:v>
                </c:pt>
                <c:pt idx="10">
                  <c:v>65142</c:v>
                </c:pt>
                <c:pt idx="11">
                  <c:v>476</c:v>
                </c:pt>
                <c:pt idx="12">
                  <c:v>3433</c:v>
                </c:pt>
                <c:pt idx="13">
                  <c:v>15513</c:v>
                </c:pt>
                <c:pt idx="14">
                  <c:v>67104</c:v>
                </c:pt>
                <c:pt idx="15">
                  <c:v>53602</c:v>
                </c:pt>
                <c:pt idx="16">
                  <c:v>13299</c:v>
                </c:pt>
                <c:pt idx="17">
                  <c:v>7914</c:v>
                </c:pt>
                <c:pt idx="18">
                  <c:v>27964</c:v>
                </c:pt>
                <c:pt idx="19">
                  <c:v>104512</c:v>
                </c:pt>
                <c:pt idx="20">
                  <c:v>16518</c:v>
                </c:pt>
                <c:pt idx="21">
                  <c:v>75734</c:v>
                </c:pt>
                <c:pt idx="22">
                  <c:v>90394</c:v>
                </c:pt>
                <c:pt idx="23">
                  <c:v>89173</c:v>
                </c:pt>
                <c:pt idx="24">
                  <c:v>82564</c:v>
                </c:pt>
                <c:pt idx="25">
                  <c:v>18227</c:v>
                </c:pt>
                <c:pt idx="26">
                  <c:v>6058</c:v>
                </c:pt>
                <c:pt idx="27">
                  <c:v>23786</c:v>
                </c:pt>
                <c:pt idx="28">
                  <c:v>20638</c:v>
                </c:pt>
                <c:pt idx="29">
                  <c:v>7876</c:v>
                </c:pt>
                <c:pt idx="30">
                  <c:v>35944</c:v>
                </c:pt>
                <c:pt idx="31">
                  <c:v>19562</c:v>
                </c:pt>
                <c:pt idx="32">
                  <c:v>40073</c:v>
                </c:pt>
                <c:pt idx="33">
                  <c:v>17084</c:v>
                </c:pt>
                <c:pt idx="34">
                  <c:v>5807</c:v>
                </c:pt>
                <c:pt idx="35">
                  <c:v>8150</c:v>
                </c:pt>
                <c:pt idx="36">
                  <c:v>22304</c:v>
                </c:pt>
                <c:pt idx="37">
                  <c:v>5751</c:v>
                </c:pt>
                <c:pt idx="38">
                  <c:v>30260</c:v>
                </c:pt>
                <c:pt idx="39">
                  <c:v>29360</c:v>
                </c:pt>
                <c:pt idx="40">
                  <c:v>25279</c:v>
                </c:pt>
                <c:pt idx="41">
                  <c:v>52915</c:v>
                </c:pt>
                <c:pt idx="42">
                  <c:v>127734</c:v>
                </c:pt>
                <c:pt idx="43">
                  <c:v>41554</c:v>
                </c:pt>
                <c:pt idx="44">
                  <c:v>10381</c:v>
                </c:pt>
                <c:pt idx="45">
                  <c:v>3576</c:v>
                </c:pt>
                <c:pt idx="46">
                  <c:v>14746</c:v>
                </c:pt>
                <c:pt idx="47">
                  <c:v>32845</c:v>
                </c:pt>
                <c:pt idx="48">
                  <c:v>9378</c:v>
                </c:pt>
                <c:pt idx="49">
                  <c:v>17396</c:v>
                </c:pt>
                <c:pt idx="50">
                  <c:v>27090</c:v>
                </c:pt>
                <c:pt idx="51">
                  <c:v>5959</c:v>
                </c:pt>
                <c:pt idx="52">
                  <c:v>91554</c:v>
                </c:pt>
                <c:pt idx="53">
                  <c:v>145747</c:v>
                </c:pt>
                <c:pt idx="54">
                  <c:v>31474</c:v>
                </c:pt>
                <c:pt idx="55">
                  <c:v>3098</c:v>
                </c:pt>
                <c:pt idx="56">
                  <c:v>3577</c:v>
                </c:pt>
                <c:pt idx="57">
                  <c:v>13431</c:v>
                </c:pt>
                <c:pt idx="58">
                  <c:v>30755</c:v>
                </c:pt>
                <c:pt idx="59">
                  <c:v>96578</c:v>
                </c:pt>
                <c:pt idx="60">
                  <c:v>7992</c:v>
                </c:pt>
                <c:pt idx="61">
                  <c:v>20096</c:v>
                </c:pt>
                <c:pt idx="62">
                  <c:v>14335</c:v>
                </c:pt>
                <c:pt idx="63">
                  <c:v>3765</c:v>
                </c:pt>
                <c:pt idx="64">
                  <c:v>4255</c:v>
                </c:pt>
                <c:pt idx="65">
                  <c:v>3004</c:v>
                </c:pt>
                <c:pt idx="66">
                  <c:v>17803</c:v>
                </c:pt>
                <c:pt idx="67">
                  <c:v>31249</c:v>
                </c:pt>
                <c:pt idx="68">
                  <c:v>109703</c:v>
                </c:pt>
                <c:pt idx="69">
                  <c:v>68563</c:v>
                </c:pt>
                <c:pt idx="70">
                  <c:v>106198</c:v>
                </c:pt>
                <c:pt idx="71">
                  <c:v>2668</c:v>
                </c:pt>
                <c:pt idx="72">
                  <c:v>41584</c:v>
                </c:pt>
                <c:pt idx="73">
                  <c:v>16848</c:v>
                </c:pt>
                <c:pt idx="74">
                  <c:v>186767</c:v>
                </c:pt>
                <c:pt idx="75">
                  <c:v>6749</c:v>
                </c:pt>
                <c:pt idx="76">
                  <c:v>22093</c:v>
                </c:pt>
                <c:pt idx="77">
                  <c:v>14647</c:v>
                </c:pt>
                <c:pt idx="78">
                  <c:v>6506</c:v>
                </c:pt>
                <c:pt idx="79">
                  <c:v>25729</c:v>
                </c:pt>
                <c:pt idx="80">
                  <c:v>13739</c:v>
                </c:pt>
                <c:pt idx="81">
                  <c:v>23656</c:v>
                </c:pt>
                <c:pt idx="82">
                  <c:v>17892</c:v>
                </c:pt>
                <c:pt idx="83">
                  <c:v>24468</c:v>
                </c:pt>
                <c:pt idx="84">
                  <c:v>22689</c:v>
                </c:pt>
                <c:pt idx="85">
                  <c:v>10805</c:v>
                </c:pt>
                <c:pt idx="86">
                  <c:v>87375</c:v>
                </c:pt>
                <c:pt idx="87">
                  <c:v>119661</c:v>
                </c:pt>
                <c:pt idx="88">
                  <c:v>1156263</c:v>
                </c:pt>
                <c:pt idx="89">
                  <c:v>909363</c:v>
                </c:pt>
                <c:pt idx="90">
                  <c:v>9627</c:v>
                </c:pt>
                <c:pt idx="91">
                  <c:v>1522334</c:v>
                </c:pt>
                <c:pt idx="92">
                  <c:v>1590316</c:v>
                </c:pt>
                <c:pt idx="93">
                  <c:v>12421</c:v>
                </c:pt>
                <c:pt idx="94">
                  <c:v>145297</c:v>
                </c:pt>
                <c:pt idx="95">
                  <c:v>190451</c:v>
                </c:pt>
                <c:pt idx="96">
                  <c:v>6031</c:v>
                </c:pt>
                <c:pt idx="97">
                  <c:v>94536</c:v>
                </c:pt>
                <c:pt idx="98">
                  <c:v>13716</c:v>
                </c:pt>
                <c:pt idx="99">
                  <c:v>15400</c:v>
                </c:pt>
                <c:pt idx="100">
                  <c:v>123058</c:v>
                </c:pt>
                <c:pt idx="101">
                  <c:v>214782</c:v>
                </c:pt>
                <c:pt idx="102">
                  <c:v>95147</c:v>
                </c:pt>
                <c:pt idx="103">
                  <c:v>88321</c:v>
                </c:pt>
                <c:pt idx="104">
                  <c:v>19946</c:v>
                </c:pt>
                <c:pt idx="105">
                  <c:v>36122</c:v>
                </c:pt>
                <c:pt idx="106">
                  <c:v>322650</c:v>
                </c:pt>
                <c:pt idx="107">
                  <c:v>11570</c:v>
                </c:pt>
                <c:pt idx="108">
                  <c:v>5091</c:v>
                </c:pt>
                <c:pt idx="109">
                  <c:v>129211</c:v>
                </c:pt>
                <c:pt idx="110">
                  <c:v>146667</c:v>
                </c:pt>
                <c:pt idx="111">
                  <c:v>22994</c:v>
                </c:pt>
                <c:pt idx="112">
                  <c:v>22419</c:v>
                </c:pt>
                <c:pt idx="113">
                  <c:v>7711</c:v>
                </c:pt>
                <c:pt idx="114">
                  <c:v>101295</c:v>
                </c:pt>
                <c:pt idx="115">
                  <c:v>50581</c:v>
                </c:pt>
                <c:pt idx="116">
                  <c:v>58611</c:v>
                </c:pt>
                <c:pt idx="117">
                  <c:v>34573</c:v>
                </c:pt>
                <c:pt idx="118">
                  <c:v>12949</c:v>
                </c:pt>
                <c:pt idx="119">
                  <c:v>23034</c:v>
                </c:pt>
                <c:pt idx="120">
                  <c:v>366222</c:v>
                </c:pt>
                <c:pt idx="121">
                  <c:v>86622</c:v>
                </c:pt>
                <c:pt idx="122">
                  <c:v>158416</c:v>
                </c:pt>
                <c:pt idx="123">
                  <c:v>97696</c:v>
                </c:pt>
                <c:pt idx="124">
                  <c:v>43046</c:v>
                </c:pt>
                <c:pt idx="125">
                  <c:v>71453</c:v>
                </c:pt>
                <c:pt idx="126">
                  <c:v>15013</c:v>
                </c:pt>
                <c:pt idx="127">
                  <c:v>235857</c:v>
                </c:pt>
                <c:pt idx="128">
                  <c:v>60311</c:v>
                </c:pt>
                <c:pt idx="129">
                  <c:v>116101</c:v>
                </c:pt>
                <c:pt idx="130">
                  <c:v>351306</c:v>
                </c:pt>
                <c:pt idx="131">
                  <c:v>120570</c:v>
                </c:pt>
                <c:pt idx="132">
                  <c:v>46437</c:v>
                </c:pt>
                <c:pt idx="133">
                  <c:v>49468</c:v>
                </c:pt>
                <c:pt idx="134">
                  <c:v>163368</c:v>
                </c:pt>
                <c:pt idx="135">
                  <c:v>51520</c:v>
                </c:pt>
                <c:pt idx="136">
                  <c:v>109729</c:v>
                </c:pt>
                <c:pt idx="137">
                  <c:v>124288</c:v>
                </c:pt>
                <c:pt idx="138">
                  <c:v>158268</c:v>
                </c:pt>
                <c:pt idx="139">
                  <c:v>398561</c:v>
                </c:pt>
                <c:pt idx="140">
                  <c:v>109707</c:v>
                </c:pt>
                <c:pt idx="141">
                  <c:v>129310</c:v>
                </c:pt>
                <c:pt idx="142">
                  <c:v>73210</c:v>
                </c:pt>
                <c:pt idx="143">
                  <c:v>2155582</c:v>
                </c:pt>
                <c:pt idx="144">
                  <c:v>250998</c:v>
                </c:pt>
                <c:pt idx="145">
                  <c:v>147730</c:v>
                </c:pt>
                <c:pt idx="146">
                  <c:v>113454</c:v>
                </c:pt>
                <c:pt idx="147">
                  <c:v>100479</c:v>
                </c:pt>
                <c:pt idx="148">
                  <c:v>168512</c:v>
                </c:pt>
                <c:pt idx="149">
                  <c:v>75046</c:v>
                </c:pt>
                <c:pt idx="150">
                  <c:v>118805</c:v>
                </c:pt>
                <c:pt idx="151">
                  <c:v>107168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31-4049-83A4-421298A8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16383"/>
        <c:axId val="678617343"/>
      </c:scatterChart>
      <c:valAx>
        <c:axId val="67861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7343"/>
        <c:crosses val="autoZero"/>
        <c:crossBetween val="midCat"/>
      </c:valAx>
      <c:valAx>
        <c:axId val="6786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Pivot_tables!$F$176</c:f>
              <c:strCache>
                <c:ptCount val="1"/>
                <c:pt idx="0">
                  <c:v>Count of Book name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Pivot_tables!$E$177:$E$186</c:f>
              <c:strCache>
                <c:ptCount val="10"/>
                <c:pt idx="0">
                  <c:v>Fiction &amp; Action &amp; Adventure</c:v>
                </c:pt>
                <c:pt idx="1">
                  <c:v>Reading &amp; Writing</c:v>
                </c:pt>
                <c:pt idx="2">
                  <c:v>Arts &amp; Music &amp; Photography</c:v>
                </c:pt>
                <c:pt idx="3">
                  <c:v>Mystery &amp; Thriller &amp; Suspense</c:v>
                </c:pt>
                <c:pt idx="4">
                  <c:v>Biographies &amp; Memoirs</c:v>
                </c:pt>
                <c:pt idx="5">
                  <c:v>Health &amp; Fitness &amp; Dieting</c:v>
                </c:pt>
                <c:pt idx="6">
                  <c:v>Self-Improvement</c:v>
                </c:pt>
                <c:pt idx="7">
                  <c:v>Politics &amp; Social Sciences</c:v>
                </c:pt>
                <c:pt idx="8">
                  <c:v>Business &amp; Money</c:v>
                </c:pt>
                <c:pt idx="9">
                  <c:v>Bible Study &amp; Reference</c:v>
                </c:pt>
              </c:strCache>
            </c:strRef>
          </c:cat>
          <c:val>
            <c:numRef>
              <c:f>Pivot_tables!$F$177:$F$186</c:f>
              <c:numCache>
                <c:formatCode>General</c:formatCode>
                <c:ptCount val="10"/>
                <c:pt idx="0">
                  <c:v>51</c:v>
                </c:pt>
                <c:pt idx="1">
                  <c:v>33</c:v>
                </c:pt>
                <c:pt idx="2">
                  <c:v>17</c:v>
                </c:pt>
                <c:pt idx="3">
                  <c:v>16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E-4C3C-82A1-BD39F709C9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8611103"/>
        <c:axId val="678613503"/>
      </c:barChart>
      <c:catAx>
        <c:axId val="67861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3503"/>
        <c:crosses val="autoZero"/>
        <c:auto val="1"/>
        <c:lblAlgn val="ctr"/>
        <c:lblOffset val="100"/>
        <c:noMultiLvlLbl val="0"/>
      </c:catAx>
      <c:valAx>
        <c:axId val="678613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171450</xdr:rowOff>
    </xdr:from>
    <xdr:to>
      <xdr:col>6</xdr:col>
      <xdr:colOff>238125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CA2D3-5FC7-4911-A16D-7E17A9F45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171450</xdr:rowOff>
    </xdr:from>
    <xdr:to>
      <xdr:col>20</xdr:col>
      <xdr:colOff>361950</xdr:colOff>
      <xdr:row>20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92A46F-A046-4278-9494-010793D60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285750</xdr:colOff>
      <xdr:row>1</xdr:row>
      <xdr:rowOff>180975</xdr:rowOff>
    </xdr:from>
    <xdr:to>
      <xdr:col>13</xdr:col>
      <xdr:colOff>133350</xdr:colOff>
      <xdr:row>20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872FFC-2D7A-481E-AE00-88C552873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runavukkarasu S" refreshedDate="46083.605246296298" createdVersion="8" refreshedVersion="8" minRefreshableVersion="3" recordCount="196" xr:uid="{4B826F94-AF1A-4B60-95AD-E7B849F6454D}">
  <cacheSource type="worksheet">
    <worksheetSource name="Books_DB_F"/>
  </cacheSource>
  <cacheFields count="18">
    <cacheField name="Book name" numFmtId="0">
      <sharedItems count="196">
        <s v="Harry Potter Paperback Box Set"/>
        <s v="A Court of Thorns and Roses Paperback Box Set (5 books)"/>
        <s v="Forgotten Home Apothecary : 250 Powerful Remedies at Your Fingertips"/>
        <s v="A Navy SEAL's Bug-In Guide: How to Turn Your House into the Safest Place on Earth"/>
        <s v="The Lost Book of Herbal Remedies"/>
        <s v="Stop, in the Name of God: Why Honoring the Sabbath Will Transform Your Life"/>
        <s v="Fourth Wing (Special Edition)"/>
        <s v="A Beautiful Year in the Bible:"/>
        <s v="Holy Bible"/>
        <s v="Can't Hurt Me: Master Your Mind and Defy the Odds"/>
        <s v="The Complete Summer I Turned Pretty Trilogy (Boxed Set): The Summer I Turned Pretty; It's Not Summer Without You; We'll Always Have Summer"/>
        <s v="The Action Bible: God's Redemptive Story"/>
        <s v="The Shadow Work Journal"/>
        <s v="The Shadow Work Journal 2nd Edition"/>
        <s v="How to Test Negative for Stupid: And Why Washington Never Will?A Senator's Funny and Perceptive Takedown of Washington Politics"/>
        <s v="The Women: A Novel"/>
        <s v="The Legend of Zelda™: Tears of the Kingdom – The Complete Official Guide: Collector's Edition"/>
        <s v="Wind and Truth: Book Five of the Stormlight Archive"/>
        <s v="Elon Musk"/>
        <s v="The New Menopause: Navigating Your Path Through Hormonal Change with Purpose, Power, and Facts"/>
        <s v="The Wedding People: A Novel"/>
        <s v="Atomic Habits: An Easy &amp; Proven Way to Build Good Habits &amp; Break Bad Ones"/>
        <s v="Brimstone"/>
        <s v="Outlive: The Science and Art of Longevity"/>
        <s v="A People's History of the United States"/>
        <s v="The Covenant of Water (Oprah's Book Club)"/>
        <s v="The Boy, the Mole, the Fox and the Horse: Inspiring Conversations on Hope, Love and Personal Growth"/>
        <s v="Haunting Adeline"/>
        <s v="Demon Copperhead: A Novel"/>
        <s v="Melania"/>
        <s v="INNER EXCELLENCE: Train Your Mind for Extraordinary Performance and the Best Possible life"/>
        <s v="The Creative Act: A Way of Being"/>
        <s v="James (Pulitzer Prize Winner): A Novel"/>
        <s v="Baking Yesteryear: The Best Recipes from the 1900s to the 1980s"/>
        <s v="The Demon of Unrest: A Saga of Hubris, Heartbreak, and Heroism at the Dawn of the Civil War"/>
        <s v="Nobody's Girl: A Memoir of Surviving Abuse and Fighting for Justice"/>
        <s v="All the Colors of the Dark"/>
        <s v="How to Win Friends &amp; Influence People"/>
        <s v="Broken Country (Reese's Book Club)"/>
        <s v="The God of the Woods"/>
        <s v="107 Days"/>
        <s v="The Heaven &amp; Earth Grocery Store"/>
        <s v="My First Library: Boxset of 10 Board Books for Kids"/>
        <s v="Magic Tree House Boxed Set, Books 1-4"/>
        <s v="Good Energy: The Surprising Connection Between Metabolism and Limitless Health"/>
        <s v="Oath and Honor: A Memoir and a Warning"/>
        <s v="American Prometheus"/>
        <s v="Remarkably Bright Creatures: A Read with Jenna Pick"/>
        <s v="The Wager: A Tale of Shipwreck, Mutiny and Murder"/>
        <s v="The Body Keeps the Score: Brain, Mind, and Body in the Healing of Trauma"/>
        <s v="The Psychology of Money: Timeless lessons on wealth, greed, and happiness"/>
        <s v="Bob Books"/>
        <s v="The Book of Bill"/>
        <s v="The Anxious Generation: How the Great Rewiring of Childhood Is Causing an Epidemic of Mental Illness"/>
        <s v="The Secret of Secrets: A Novel (Robert Langdon)"/>
        <s v="The 48 Laws of Power"/>
        <s v="Holly"/>
        <s v="Project Hail Mary: A Novel"/>
        <s v="Hello Beautiful (Oprah's Book Club): A Novel"/>
        <s v="Lessons in Chemistry: A Novel"/>
        <s v="The Widow: A Novel"/>
        <s v="Be Ready When the Luck Happens"/>
        <s v="Fourth Wing"/>
        <s v="Hillbilly Elegy: A Memoir of a Family and Culture in Crisis"/>
        <s v="The Nightingale: A Novel"/>
        <s v="Sunrise on the Reaping (The Hunger Games)"/>
        <s v="The Democrat Party Hates America"/>
        <s v="The Subtle Art of Not Giving a F*ck"/>
        <s v="Tomorrow, and Tomorrow, and Tomorrow"/>
        <s v="The Exchange: After The Firm (The Firm Series)"/>
        <s v="My Friends"/>
        <s v="Man's Search for Meaning"/>
        <s v="Murdle: Volume 1"/>
        <s v="A Court of Wings and Ruin"/>
        <s v="Fast Like a Girl"/>
        <s v="A Court of Thorns and Roses"/>
        <s v="A Court of Frost and Starlight"/>
        <s v="The Housemaid Is Watching"/>
        <s v="Don't Believe Everything You Think (Expanded Edition): Why Your Thinking Is The Beginning &amp; End Of Suffering (Books By Joseph Nguyen)"/>
        <s v="Happy Place"/>
        <s v="A Court of Mist and Fury"/>
        <s v="Verity"/>
        <s v="From Crook to Cook: Platinum Recipes from Tha Boss Dogg's Kitchen (Snoop Dogg Cookbook, Celebrity Cookbook with Soul Food Recipes)"/>
        <s v="Spare"/>
        <s v="World of Eric Carle, Around the Farm 30"/>
        <s v="World of Eric Carle, Around the Farm 30-Button Animal Sound Book - Great for First Words - PI Kids"/>
        <s v="The Frozen River: A GMA Book Club Pick: A Novel"/>
        <s v="Would You Rather Book For Kids - 300+ Hilarious, Silly, and Challenging Questions To Make You Laugh"/>
        <s v="Mom, I Want to Hear Your Story: A Mother’s Guided Journal To Share Her Life &amp; Her Love (Hear Your Story Books)"/>
        <s v="The Woman in Me"/>
        <s v="Iron Flame"/>
        <s v="Partypooper: A side-splitting birthday disaster from the #1 international bestselling Diary of a Wimpy Kid series (Book 20) (Volume 20)"/>
        <s v="The Beginner's Bible: Timeless Children's Stories"/>
        <s v="How To Draw Everything: 300 Drawings of Cute Stuff, Animals, Food, Gifts, and other Amazing Things | Book For Kids"/>
        <s v="Friends, Lovers, and the Big Terrible Thing"/>
        <s v="The Ballad of Songbirds and Snakes"/>
        <s v="Throne of Glass"/>
        <s v="The Great Alone"/>
        <s v="Interesting Facts For Curious Minds"/>
        <s v="Adult Children of Emotionally Immature Parents"/>
        <s v="Stop Overthinking"/>
        <s v="All the Light We Cannot See"/>
        <s v="The Book of Unusual Knowledge: Big Book of Fascinating Facts &amp; Information | Hardcover Gift for Trivia Buffs, Curious Minds, Adults, Dad &amp; Knowledge Seekers"/>
        <s v="I Will Teach You to Be Rich: No Guilt. No Excuses. Just a 6-Week Program That Works (Second Edition)"/>
        <s v="Killers of the Flower Moon: The Osage Murders and the Birth of the FBI"/>
        <s v="Twisted Love"/>
        <s v="Little Corner: Coloring Book for Adults and Teens, Super Cute Designs of Cozy, Hygge Spaces for Relaxation (Cozy Spaces Coloring)"/>
        <s v="Cozy Friends: Coloring Book for Adults and Teens Featuring Super Cute Animal Characters with Easy and Simple Designs for Relaxation"/>
        <s v="Stress Relief: Coloring Book for Adults and Kids, Bold and Easy, Simple and Big Designs for Relaxation Featuring Animals, Landscape, Flowers, Patterns, Cute Things And Many More"/>
        <s v="Spooky Cutie: Coloring Book for Adults and Teens Featuring Adorable Creepy Creatures in Cozy Hygge Moments for Relaxation (Cozy Spaces Coloring)"/>
        <s v="Difficult Riddles For Smart Kids"/>
        <s v="Girl Moments: Coloring Book for Adults and Teens Featuring Cute Cozy Daily Activities for Relaxation (Cozy Spaces Coloring)"/>
        <s v="A Court of Silver Flames"/>
        <s v="Things We Hide from the Light"/>
        <s v="Dragons Love Tacos"/>
        <s v="Things We Never Got Over (Knockemout)"/>
        <s v="Twisted Games"/>
        <s v="The Housemaid's Secret"/>
        <s v="The Housemaid"/>
        <s v="The Next Conversation: Argue Less, Talk More"/>
        <s v="Alchemised"/>
        <s v="Fuzzy Hygge: Cute and Cozy Coloring Book"/>
        <s v="1929: Inside the Greatest Crash in Wall Street History--and How It Shattered a Nation"/>
        <s v="The Teacher"/>
        <s v="Happy Birthday to You!"/>
        <s v="The Wonderful Things You Will Be"/>
        <s v="What to Expect When You're Expecting"/>
        <s v="Dog Man: Big Jim Believes: A Graphic Novel (Dog Man #14): From the Creator of Captain Underpants"/>
        <s v="Icebreaker"/>
        <s v="The Complete Cookbook for Young Chefs"/>
        <s v="Daisy Jones &amp; The Six: Reese's Book Club: A Novel"/>
        <s v="The Let Them Theory: A Life-Changing Tool That Millions of People Can't Stop Talking About"/>
        <s v="A Little Life"/>
        <s v="Fahrenheit 451"/>
        <s v="It Ends with Us: A Novel"/>
        <s v="Reminders of Him: A Novel"/>
        <s v="Ugly Love: A Novel"/>
        <s v="See You Later, Alligator"/>
        <s v="Dad, I Want to Hear Your Story: A Father’s Guided Journal To Share His Life &amp; His Love (Hear Your Story Books)"/>
        <s v="Potty Time with Bean"/>
        <s v="Oh, the Places You'll Go!"/>
        <s v="Dog Man: The Scarlet Shedder: A Graphic Novel (Dog Man #12): From the Creator of Captain Underpants"/>
        <s v="Think and Grow Rich: The Landmark Bestseller Now Revised and Updated for the 21st Century (Think and Grow Rich Series)"/>
        <s v="Meditations"/>
        <s v="Onyx Storm (Wing and Claw Collection) (The Empyrean, 3)"/>
        <s v="The Screaming Goat (Book &amp; Figure)"/>
        <s v="Rich Dad Poor Dad"/>
        <s v="The Last Thing He Told Me"/>
        <s v="Never Lie"/>
        <s v="The Four Agreements: A Practical Guide to Personal Freedom"/>
        <s v="The Seven Husbands of Evelyn Hugo"/>
        <s v="If He Had Been with Me"/>
        <s v="The Hardest Hidden Pictures Book Ever"/>
        <s v="The Hardest Hidden Pictures Book Ever: Ultra-Challenging Brain Games for Kids Ages 8-12, Advanced Seek and Find Puzzles Book with Over 1,500 Hidden Objects to Find (Highlights Hidden Pictures)"/>
        <s v="Animal Farm"/>
        <s v="Large Print Easy Color &amp; Frame - Calm (Stress Free Coloring Book)"/>
        <s v="If Only I Had Told Her"/>
        <s v="1984"/>
        <s v="How to Catch a Unicorn"/>
        <s v="The Very Hungry Caterpillar"/>
        <s v="Why a Daughter Needs a Dad"/>
        <s v="How to Catch a Mermaid"/>
        <s v="Dog Man: Big Jim Begins: A Graphic Novel (Dog Man #13): From the Creator of Captain Underpants"/>
        <s v="How to Catch a Dinosaur"/>
        <s v="Dog Man: Twenty Thousand Fleas Under the Sea: A Graphic Novel (Dog Man #11): From the Creator of Captain Underpants"/>
        <s v="The Big Book of Silly Jokes for Kids"/>
        <s v="I Love You Like No Otter: A Funny and Sweet Valentine's Day Board Book for Babies and Toddlers (Punderland)"/>
        <s v="My First Learn-to-Write Workbook: Practice for Kids with Pen Control, Line Tracing, Letters, and More!"/>
        <s v="8 Little Planets"/>
        <s v="The Alchemist"/>
        <s v="The Lost Bookshop"/>
        <s v="The Crash"/>
        <s v="Love You Forever"/>
        <s v="Brown Bear, Brown Bear, What Do You See?"/>
        <s v="The Rainbow Fish"/>
        <s v="Where's Spot?: A Lift-the-Flap Book"/>
        <s v="The Tenant"/>
        <s v="Taylor Swift: A Little Golden Book Biography"/>
        <s v="If Animals Kissed Good Night"/>
        <s v="Chicka Chicka Boom Boom"/>
        <s v="Lots of Knock-Knock Jokes for Kids"/>
        <s v="I Love You to the Moon and Back"/>
        <s v="The Going To Bed Book"/>
        <s v="Scholastic Flash Cards: Sight Words"/>
        <s v="First Lie Wins"/>
        <s v="Where's Bluey?: A Search-and-Find Book"/>
        <s v="The Bible in 52 Weeks: A Yearlong Bible Study for Women"/>
        <s v="Just for the Summer"/>
        <s v="Hot Mess: A laugh-out-loud summer disaster from the #1 international bestselling Diary of a Wimpy Kid series (Book 19) (Volume 19)"/>
        <s v="Bluey: Big Backyard: A Coloring Book"/>
        <s v="The Silent Patient"/>
        <s v="No Brainer (Diary of a Wimpy Kid #18) (Volume 18)"/>
        <s v="Goodnight Moon"/>
        <s v="The 5 Love Languages"/>
        <s v="It Starts with Us: A Novel (It Ends with Us)"/>
        <s v="Hello, Baby Animals"/>
      </sharedItems>
    </cacheField>
    <cacheField name="Author" numFmtId="0">
      <sharedItems count="152">
        <s v="J. K. Rowling, Mary Grandpre?"/>
        <s v="Sarah J. Maas"/>
        <s v="Dr. Nicole Apelian"/>
        <s v="Joel Lambert"/>
        <s v="Claude Davis, Nicole Apelian"/>
        <s v="Charlie Kirk"/>
        <s v="Rebecca Yarros"/>
        <s v="Alabaster Co. "/>
        <s v="Christian Art Publishers"/>
        <s v="David Goggins"/>
        <s v="Jenny Han"/>
        <s v="Sergio Cariello"/>
        <s v="Keila Shaheen"/>
        <s v="John Kennedy"/>
        <s v="Kristin Hannah"/>
        <s v="Piggyback"/>
        <s v="Brandon Sanderson"/>
        <s v="Walter Isaacson"/>
        <s v="Mary Claire Haver Md"/>
        <s v="Alison Espach"/>
        <s v="James Clear"/>
        <s v="Callie Hart"/>
        <s v="Peter Attia Md"/>
        <s v="Howard Zinn"/>
        <s v="Abraham Verghese"/>
        <s v="Charlie Mackesy"/>
        <s v="H. D. Carlton"/>
        <s v="Barbara Kingsolver"/>
        <s v="Melania Trump"/>
        <s v="Jim Murphy"/>
        <s v="Rick Rubin"/>
        <s v="Percival Everett"/>
        <s v="B. Dylan Hollis"/>
        <s v="Erik Larson"/>
        <s v="Virginia Roberts Giuffre"/>
        <s v="Chris Whitaker"/>
        <s v="Dale Carnegie "/>
        <s v="Clare Leslie Hall"/>
        <s v="Liz Moore"/>
        <s v="Kamala Harris"/>
        <s v="James Mcbride"/>
        <s v="Wonder House Books"/>
        <s v="Mary Pope Osborne, Sal Murdocca"/>
        <s v="Casey Means Md"/>
        <s v="Liz Cheney"/>
        <s v="Kai Bird, Martin J. Sherwin"/>
        <s v="Shelby Van Pelt"/>
        <s v="David Grann"/>
        <s v="Bessel Van Der Kolk M.D."/>
        <s v="Morgan Housel"/>
        <s v="Bobby Lynn Maslen"/>
        <s v="Alex Hirsch"/>
        <s v="Jonathan Haidt"/>
        <s v="Dan Brown"/>
        <s v="Robert Greene"/>
        <s v="Stephen King"/>
        <s v="Andy Weir"/>
        <s v="Ann Napolitano"/>
        <s v="Bonnie Garmus"/>
        <s v="John Grisham"/>
        <s v="Ina Garten"/>
        <s v="J. D. Vance"/>
        <s v="Suzanne Collins"/>
        <s v="Mark R. Levin"/>
        <s v="Mark Manson"/>
        <s v="Gabrielle Zevin"/>
        <s v="Fredrik Backman"/>
        <s v="Viktor E. Frankl"/>
        <s v="G T Karber"/>
        <s v="Dr. Mindy Pelz"/>
        <s v="Freida Mcfadden"/>
        <s v="Joseph Nguyen"/>
        <s v="Emily Henry"/>
        <s v="Colleen Hoover"/>
        <s v="Snoop Dogg"/>
        <s v="Prince Harry  The Duke Of Sussex"/>
        <s v="Pi Kids"/>
        <s v="Ariel Lawhon"/>
        <s v="Stephen J. Ellis"/>
        <s v="Jeffrey Mason , Hear Your Story"/>
        <s v="Britney Spears"/>
        <s v="Jeff Kinney"/>
        <s v="The Beginner'S Bible"/>
        <s v="Emma Greene"/>
        <s v="Matthew Perry"/>
        <s v="Jordan Moore"/>
        <s v="Lindsay C. Gibson"/>
        <s v="Nick Trenton"/>
        <s v="Anthony Doerr"/>
        <s v="Publications International Ltd."/>
        <s v="Ramit Sethi"/>
        <s v="Ana Huang"/>
        <s v="Coco Wyo"/>
        <s v="M Prefontaine"/>
        <s v="Lucy Score"/>
        <s v="Adam Rubin, Daniel Salmieri"/>
        <s v="Jefferson Fisher"/>
        <s v="Senlinyu"/>
        <s v="Vivi Tinta"/>
        <s v="Andrew Ross Sorkin"/>
        <s v="Dr. Seuss"/>
        <s v="Emily Winfield Martin"/>
        <s v="Heidi Murkoff"/>
        <s v="Dav Pilkey"/>
        <s v="Hannah Grace"/>
        <s v="America’S Test Kitchen Kids"/>
        <s v="Taylor Jenkins Reid"/>
        <s v="Mel Robbins, Sawyer Robbins"/>
        <s v="Hanya Yanagihara"/>
        <s v="Ray Bradbury"/>
        <s v="Sally Hopgood,  Emma Levey "/>
        <s v="Jeffrey Mason, Hear Your Story"/>
        <s v="Ms. Rachel, Monique Dong"/>
        <s v="Dr. Seuss "/>
        <s v="Napoleon Hill"/>
        <s v="Marcus Aurelius"/>
        <s v="Running Press"/>
        <s v="Robert T. Kiyosaki"/>
        <s v="Laura Dave"/>
        <s v="Janet Mills, Don Miguel Ruiz"/>
        <s v="Laura Nowlin"/>
        <s v="Highlights"/>
        <s v="George Orwell"/>
        <s v="New Seasons"/>
        <s v="Adam Wallace"/>
        <s v="Eric Carle"/>
        <s v="Gregory E. Lang"/>
        <s v="Carole P. Roman"/>
        <s v="Rose Rossner"/>
        <s v="Crystal Radke"/>
        <s v="Chris Ferrie, Lizzy Doyle"/>
        <s v="Paulo Coelho"/>
        <s v="Evie Woods"/>
        <s v="Robert Munsch, Sheila Mcgraw"/>
        <s v="Bill Martin Jr. , Eric Carle"/>
        <s v="Marcus Pfister"/>
        <s v="Eric Hill"/>
        <s v="Wendy Loggia, Elisa Chavarri"/>
        <s v="Ann Whitford Paul"/>
        <s v="Bill Martin Jr."/>
        <s v="Whee Winn"/>
        <s v="Amelia Hepworth"/>
        <s v="Sandra Boynton "/>
        <s v="Scholastic"/>
        <s v="Ashley Elston"/>
        <s v="Penguin Young Readers Licenses"/>
        <s v="Dr. Kimberly D. Moore"/>
        <s v="Abby Jimenez"/>
        <s v="Alex Michaelides"/>
        <s v="Margaret Wise Brown, Clement Hurd"/>
        <s v="Gary Chapman"/>
        <s v="Duopress Labs, Julissa Mora"/>
      </sharedItems>
    </cacheField>
    <cacheField name="Rating" numFmtId="0">
      <sharedItems count="9">
        <s v="4.9 out of 5 stars"/>
        <s v="4.8 out of 5 stars"/>
        <s v="4.7 out of 5 stars"/>
        <s v="4.6 out of 5 stars"/>
        <s v="4.3 out of 5 stars"/>
        <s v="4.4 out of 5 stars"/>
        <s v="4.5 out of 5 stars"/>
        <s v="4.1 out of 5 stars"/>
        <s v="4.2 out of 5 stars"/>
      </sharedItems>
    </cacheField>
    <cacheField name="Rating F" numFmtId="0">
      <sharedItems containsSemiMixedTypes="0" containsString="0" containsNumber="1" minValue="4.0999999999999996" maxValue="4.9000000000000004" count="9">
        <n v="4.9000000000000004"/>
        <n v="4.8"/>
        <n v="4.7"/>
        <n v="4.5999999999999996"/>
        <n v="4.3"/>
        <n v="4.4000000000000004"/>
        <n v="4.5"/>
        <n v="4.0999999999999996"/>
        <n v="4.2"/>
      </sharedItems>
      <fieldGroup par="17"/>
    </cacheField>
    <cacheField name="Reviews Count" numFmtId="0">
      <sharedItems containsSemiMixedTypes="0" containsString="0" containsNumber="1" containsInteger="1" minValue="476" maxValue="653111"/>
    </cacheField>
    <cacheField name="Form" numFmtId="0">
      <sharedItems count="6">
        <s v="Paperback"/>
        <s v="Hardcover"/>
        <s v="Imitation Leather"/>
        <s v="Board book"/>
        <s v="Spiral-bound"/>
        <s v="Cards"/>
      </sharedItems>
    </cacheField>
    <cacheField name="Price" numFmtId="164">
      <sharedItems/>
    </cacheField>
    <cacheField name="Price F($)" numFmtId="164">
      <sharedItems containsSemiMixedTypes="0" containsString="0" containsNumber="1" minValue="1" maxValue="52.62"/>
    </cacheField>
    <cacheField name="Reading age" numFmtId="0">
      <sharedItems/>
    </cacheField>
    <cacheField name="Print Length" numFmtId="0">
      <sharedItems containsString="0" containsBlank="1" containsNumber="1" containsInteger="1" minValue="12" maxValue="2896"/>
    </cacheField>
    <cacheField name="Publishing date" numFmtId="14">
      <sharedItems containsSemiMixedTypes="0" containsNonDate="0" containsDate="1" containsString="0" minDate="1959-08-12T00:00:00" maxDate="2025-12-10T00:00:00"/>
    </cacheField>
    <cacheField name="Genre" numFmtId="0">
      <sharedItems count="21">
        <s v="Reading &amp; Writing"/>
        <s v="Fiction &amp; Action &amp; Adventure"/>
        <s v="Health &amp; Fitness &amp; Dieting"/>
        <s v="Engineering"/>
        <s v="Bible Study &amp; Reference"/>
        <s v="Self-Improvement"/>
        <s v="Politics &amp; Social Sciences"/>
        <s v="Computers &amp; Technology"/>
        <s v="Biographies &amp; Memoirs"/>
        <s v="History"/>
        <s v="Comics &amp; Graphic Novels"/>
        <s v="Mystery &amp; Thriller &amp; Suspense"/>
        <s v="Cookbooks &amp; Food"/>
        <s v="Business &amp; Money"/>
        <s v="Parenting &amp; Relationships"/>
        <s v="Puzzles &amp; Games"/>
        <s v="Arts &amp; Music &amp; Photography"/>
        <s v="Friendship &amp; Social Skills &amp; School Life"/>
        <s v="Humor &amp; Entertainment"/>
        <s v="Romance"/>
        <s v="Schools &amp; Teaching"/>
      </sharedItems>
    </cacheField>
    <cacheField name="Id_2023" numFmtId="0">
      <sharedItems containsString="0" containsBlank="1" containsNumber="1" containsInteger="1" minValue="1" maxValue="100" count="101">
        <n v="81"/>
        <n v="72"/>
        <m/>
        <n v="41"/>
        <n v="76"/>
        <n v="77"/>
        <n v="45"/>
        <n v="88"/>
        <n v="53"/>
        <n v="54"/>
        <n v="1"/>
        <n v="10"/>
        <n v="27"/>
        <n v="75"/>
        <n v="56"/>
        <n v="20"/>
        <n v="17"/>
        <n v="29"/>
        <n v="73"/>
        <n v="68"/>
        <n v="35"/>
        <n v="46"/>
        <n v="86"/>
        <n v="43"/>
        <n v="33"/>
        <n v="8"/>
        <n v="44"/>
        <n v="7"/>
        <n v="67"/>
        <n v="63"/>
        <n v="6"/>
        <n v="4"/>
        <n v="80"/>
        <n v="64"/>
        <n v="85"/>
        <n v="38"/>
        <n v="78"/>
        <n v="84"/>
        <n v="87"/>
        <n v="21"/>
        <n v="100"/>
        <n v="60"/>
        <n v="52"/>
        <n v="15"/>
        <n v="96"/>
        <n v="3"/>
        <n v="39"/>
        <n v="5"/>
        <n v="2"/>
        <n v="31"/>
        <n v="93"/>
        <n v="22"/>
        <n v="82"/>
        <n v="83"/>
        <n v="92"/>
        <n v="55"/>
        <n v="14"/>
        <n v="48"/>
        <n v="50"/>
        <n v="79"/>
        <n v="26"/>
        <n v="61"/>
        <n v="12"/>
        <n v="40"/>
        <n v="94"/>
        <n v="49"/>
        <n v="74"/>
        <n v="71"/>
        <n v="65"/>
        <n v="11"/>
        <n v="51"/>
        <n v="58"/>
        <n v="34"/>
        <n v="70"/>
        <n v="66"/>
        <n v="32"/>
        <n v="95"/>
        <n v="19"/>
        <n v="16"/>
        <n v="36"/>
        <n v="91"/>
        <n v="13"/>
        <n v="99"/>
        <n v="57"/>
        <n v="25"/>
        <n v="30"/>
        <n v="98"/>
        <n v="89"/>
        <n v="90"/>
        <n v="28"/>
        <n v="18"/>
        <n v="59"/>
        <n v="62"/>
        <n v="24"/>
        <n v="69"/>
        <n v="47"/>
        <n v="42"/>
        <n v="23"/>
        <n v="37"/>
        <n v="97"/>
        <n v="9"/>
      </sharedItems>
    </cacheField>
    <cacheField name="Id_2024" numFmtId="0">
      <sharedItems containsString="0" containsBlank="1" containsNumber="1" containsInteger="1" minValue="1" maxValue="100" count="98">
        <m/>
        <n v="27"/>
        <n v="59"/>
        <n v="58"/>
        <n v="93"/>
        <n v="1"/>
        <n v="82"/>
        <n v="50"/>
        <n v="3"/>
        <n v="52"/>
        <n v="87"/>
        <n v="17"/>
        <n v="91"/>
        <n v="42"/>
        <n v="55"/>
        <n v="68"/>
        <n v="63"/>
        <n v="86"/>
        <n v="100"/>
        <n v="37"/>
        <n v="10"/>
        <n v="45"/>
        <n v="18"/>
        <n v="25"/>
        <n v="38"/>
        <n v="8"/>
        <n v="11"/>
        <n v="77"/>
        <n v="16"/>
        <n v="4"/>
        <n v="22"/>
        <n v="71"/>
        <n v="44"/>
        <n v="12"/>
        <n v="57"/>
        <n v="23"/>
        <n v="35"/>
        <n v="32"/>
        <n v="40"/>
        <n v="75"/>
        <n v="31"/>
        <n v="6"/>
        <n v="13"/>
        <n v="20"/>
        <n v="98"/>
        <n v="96"/>
        <n v="49"/>
        <n v="95"/>
        <n v="24"/>
        <n v="30"/>
        <n v="34"/>
        <n v="48"/>
        <n v="56"/>
        <n v="61"/>
        <n v="94"/>
        <n v="15"/>
        <n v="67"/>
        <n v="65"/>
        <n v="78"/>
        <n v="70"/>
        <n v="76"/>
        <n v="64"/>
        <n v="69"/>
        <n v="84"/>
        <n v="9"/>
        <n v="7"/>
        <n v="41"/>
        <n v="14"/>
        <n v="2"/>
        <n v="51"/>
        <n v="29"/>
        <n v="73"/>
        <n v="79"/>
        <n v="88"/>
        <n v="83"/>
        <n v="85"/>
        <n v="46"/>
        <n v="28"/>
        <n v="54"/>
        <n v="43"/>
        <n v="33"/>
        <n v="74"/>
        <n v="99"/>
        <n v="36"/>
        <n v="81"/>
        <n v="92"/>
        <n v="47"/>
        <n v="26"/>
        <n v="53"/>
        <n v="62"/>
        <n v="60"/>
        <n v="39"/>
        <n v="66"/>
        <n v="21"/>
        <n v="89"/>
        <n v="97"/>
        <n v="19"/>
        <n v="72"/>
      </sharedItems>
    </cacheField>
    <cacheField name="Id_2025" numFmtId="0">
      <sharedItems containsString="0" containsBlank="1" containsNumber="1" containsInteger="1" minValue="1" maxValue="99" count="96">
        <m/>
        <n v="85"/>
        <n v="3"/>
        <n v="80"/>
        <n v="45"/>
        <n v="98"/>
        <n v="43"/>
        <n v="32"/>
        <n v="44"/>
        <n v="74"/>
        <n v="51"/>
        <n v="6"/>
        <n v="79"/>
        <n v="62"/>
        <n v="92"/>
        <n v="33"/>
        <n v="60"/>
        <n v="67"/>
        <n v="46"/>
        <n v="87"/>
        <n v="54"/>
        <n v="13"/>
        <n v="91"/>
        <n v="16"/>
        <n v="23"/>
        <n v="93"/>
        <n v="19"/>
        <n v="26"/>
        <n v="53"/>
        <n v="40"/>
        <n v="48"/>
        <n v="76"/>
        <n v="14"/>
        <n v="2"/>
        <n v="86"/>
        <n v="75"/>
        <n v="38"/>
        <n v="59"/>
        <n v="28"/>
        <n v="82"/>
        <n v="65"/>
        <n v="7"/>
        <n v="12"/>
        <n v="34"/>
        <n v="36"/>
        <n v="9"/>
        <n v="66"/>
        <n v="4"/>
        <n v="21"/>
        <n v="22"/>
        <n v="10"/>
        <n v="11"/>
        <n v="69"/>
        <n v="27"/>
        <n v="29"/>
        <n v="5"/>
        <n v="97"/>
        <n v="96"/>
        <n v="95"/>
        <n v="78"/>
        <n v="83"/>
        <n v="77"/>
        <n v="72"/>
        <n v="24"/>
        <n v="99"/>
        <n v="1"/>
        <n v="39"/>
        <n v="90"/>
        <n v="56"/>
        <n v="18"/>
        <n v="50"/>
        <n v="47"/>
        <n v="55"/>
        <n v="63"/>
        <n v="49"/>
        <n v="57"/>
        <n v="17"/>
        <n v="84"/>
        <n v="71"/>
        <n v="25"/>
        <n v="30"/>
        <n v="8"/>
        <n v="88"/>
        <n v="68"/>
        <n v="70"/>
        <n v="37"/>
        <n v="31"/>
        <n v="61"/>
        <n v="58"/>
        <n v="52"/>
        <n v="89"/>
        <n v="64"/>
        <n v="42"/>
        <n v="94"/>
        <n v="41"/>
        <n v="81"/>
      </sharedItems>
    </cacheField>
    <cacheField name="Rating_Category" numFmtId="0">
      <sharedItems count="3">
        <s v="High"/>
        <s v="Medium"/>
        <s v="Low"/>
      </sharedItems>
    </cacheField>
    <cacheField name="Pricing_Category" numFmtId="0">
      <sharedItems count="3">
        <s v="Premium"/>
        <s v="Mid"/>
        <s v="Budget"/>
      </sharedItems>
    </cacheField>
    <cacheField name="Rating F2" numFmtId="0" databaseField="0">
      <fieldGroup base="3">
        <discretePr count="9">
          <x v="0"/>
          <x v="0"/>
          <x v="0"/>
          <x v="2"/>
          <x v="1"/>
          <x v="2"/>
          <x v="2"/>
          <x v="1"/>
          <x v="1"/>
        </discretePr>
        <groupItems count="3"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x v="0"/>
    <n v="65142"/>
    <x v="0"/>
    <s v="$52.62"/>
    <n v="52.62"/>
    <s v="9 years and up"/>
    <m/>
    <d v="2009-07-01T00:00:00"/>
    <x v="0"/>
    <x v="0"/>
    <x v="0"/>
    <x v="0"/>
    <x v="0"/>
    <x v="0"/>
  </r>
  <r>
    <x v="1"/>
    <x v="1"/>
    <x v="1"/>
    <x v="1"/>
    <n v="52380"/>
    <x v="0"/>
    <s v="$47.90"/>
    <n v="47.9"/>
    <s v=""/>
    <n v="2896"/>
    <d v="2022-11-01T00:00:00"/>
    <x v="1"/>
    <x v="1"/>
    <x v="1"/>
    <x v="1"/>
    <x v="0"/>
    <x v="1"/>
  </r>
  <r>
    <x v="2"/>
    <x v="2"/>
    <x v="2"/>
    <x v="2"/>
    <n v="14335"/>
    <x v="0"/>
    <s v="$37.01"/>
    <n v="37.01"/>
    <s v="12 years and up"/>
    <n v="288"/>
    <d v="2024-08-30T00:00:00"/>
    <x v="2"/>
    <x v="2"/>
    <x v="0"/>
    <x v="2"/>
    <x v="0"/>
    <x v="1"/>
  </r>
  <r>
    <x v="3"/>
    <x v="3"/>
    <x v="2"/>
    <x v="2"/>
    <n v="3577"/>
    <x v="0"/>
    <s v="$37.00"/>
    <n v="37"/>
    <s v=""/>
    <n v="240"/>
    <d v="2024-01-01T00:00:00"/>
    <x v="3"/>
    <x v="2"/>
    <x v="0"/>
    <x v="3"/>
    <x v="0"/>
    <x v="1"/>
  </r>
  <r>
    <x v="4"/>
    <x v="4"/>
    <x v="2"/>
    <x v="2"/>
    <n v="23656"/>
    <x v="0"/>
    <s v="$36.00"/>
    <n v="36"/>
    <s v=""/>
    <n v="304"/>
    <d v="2019-01-01T00:00:00"/>
    <x v="2"/>
    <x v="2"/>
    <x v="2"/>
    <x v="0"/>
    <x v="0"/>
    <x v="1"/>
  </r>
  <r>
    <x v="5"/>
    <x v="5"/>
    <x v="0"/>
    <x v="0"/>
    <n v="476"/>
    <x v="1"/>
    <s v="$29.99"/>
    <n v="29.99"/>
    <s v=""/>
    <n v="267"/>
    <d v="2025-12-09T00:00:00"/>
    <x v="4"/>
    <x v="2"/>
    <x v="0"/>
    <x v="4"/>
    <x v="0"/>
    <x v="1"/>
  </r>
  <r>
    <x v="6"/>
    <x v="6"/>
    <x v="3"/>
    <x v="3"/>
    <n v="5028"/>
    <x v="1"/>
    <s v="$26.91"/>
    <n v="26.91"/>
    <s v=""/>
    <n v="528"/>
    <d v="2023-11-07T00:00:00"/>
    <x v="1"/>
    <x v="3"/>
    <x v="0"/>
    <x v="0"/>
    <x v="1"/>
    <x v="1"/>
  </r>
  <r>
    <x v="7"/>
    <x v="7"/>
    <x v="2"/>
    <x v="2"/>
    <n v="3098"/>
    <x v="0"/>
    <s v="$26.88"/>
    <n v="26.88"/>
    <s v=""/>
    <n v="224"/>
    <d v="2024-09-01T00:00:00"/>
    <x v="4"/>
    <x v="2"/>
    <x v="0"/>
    <x v="5"/>
    <x v="0"/>
    <x v="1"/>
  </r>
  <r>
    <x v="8"/>
    <x v="8"/>
    <x v="0"/>
    <x v="0"/>
    <n v="15513"/>
    <x v="2"/>
    <s v="$25.64"/>
    <n v="25.64"/>
    <s v=""/>
    <n v="1400"/>
    <d v="2020-03-01T00:00:00"/>
    <x v="4"/>
    <x v="2"/>
    <x v="3"/>
    <x v="0"/>
    <x v="0"/>
    <x v="1"/>
  </r>
  <r>
    <x v="9"/>
    <x v="9"/>
    <x v="1"/>
    <x v="1"/>
    <n v="104512"/>
    <x v="0"/>
    <s v="$24.99"/>
    <n v="24.99"/>
    <s v=""/>
    <n v="364"/>
    <d v="2018-12-10T00:00:00"/>
    <x v="5"/>
    <x v="4"/>
    <x v="0"/>
    <x v="0"/>
    <x v="0"/>
    <x v="2"/>
  </r>
  <r>
    <x v="10"/>
    <x v="10"/>
    <x v="1"/>
    <x v="1"/>
    <n v="14746"/>
    <x v="0"/>
    <s v="$24.62"/>
    <n v="24.62"/>
    <s v="12 years and up "/>
    <n v="928"/>
    <d v="2013-05-07T00:00:00"/>
    <x v="1"/>
    <x v="5"/>
    <x v="0"/>
    <x v="0"/>
    <x v="0"/>
    <x v="2"/>
  </r>
  <r>
    <x v="11"/>
    <x v="11"/>
    <x v="0"/>
    <x v="0"/>
    <n v="13299"/>
    <x v="1"/>
    <s v="$24.34"/>
    <n v="24.34"/>
    <s v="8 years and up"/>
    <n v="832"/>
    <d v="2020-09-01T00:00:00"/>
    <x v="4"/>
    <x v="2"/>
    <x v="4"/>
    <x v="6"/>
    <x v="0"/>
    <x v="2"/>
  </r>
  <r>
    <x v="12"/>
    <x v="12"/>
    <x v="2"/>
    <x v="2"/>
    <n v="6331"/>
    <x v="0"/>
    <s v="$23.66"/>
    <n v="23.66"/>
    <s v=""/>
    <n v="138"/>
    <d v="2021-11-02T00:00:00"/>
    <x v="2"/>
    <x v="6"/>
    <x v="0"/>
    <x v="0"/>
    <x v="0"/>
    <x v="2"/>
  </r>
  <r>
    <x v="13"/>
    <x v="12"/>
    <x v="3"/>
    <x v="3"/>
    <n v="3296"/>
    <x v="0"/>
    <s v="$21.74"/>
    <n v="21.74"/>
    <s v=""/>
    <n v="227"/>
    <d v="2023-02-28T00:00:00"/>
    <x v="5"/>
    <x v="7"/>
    <x v="0"/>
    <x v="0"/>
    <x v="1"/>
    <x v="2"/>
  </r>
  <r>
    <x v="14"/>
    <x v="13"/>
    <x v="1"/>
    <x v="1"/>
    <n v="9378"/>
    <x v="1"/>
    <s v="$20.98"/>
    <n v="20.98"/>
    <s v=""/>
    <n v="224"/>
    <d v="2025-10-07T00:00:00"/>
    <x v="6"/>
    <x v="2"/>
    <x v="0"/>
    <x v="7"/>
    <x v="0"/>
    <x v="2"/>
  </r>
  <r>
    <x v="15"/>
    <x v="14"/>
    <x v="2"/>
    <x v="2"/>
    <n v="315946"/>
    <x v="1"/>
    <s v="$20.50"/>
    <n v="20.5"/>
    <s v=""/>
    <n v="480"/>
    <d v="2024-02-06T00:00:00"/>
    <x v="1"/>
    <x v="2"/>
    <x v="5"/>
    <x v="8"/>
    <x v="0"/>
    <x v="2"/>
  </r>
  <r>
    <x v="16"/>
    <x v="15"/>
    <x v="1"/>
    <x v="1"/>
    <n v="7876"/>
    <x v="1"/>
    <s v="$20.19"/>
    <n v="20.190000000000001"/>
    <s v=""/>
    <n v="496"/>
    <d v="2023-07-07T00:00:00"/>
    <x v="7"/>
    <x v="8"/>
    <x v="0"/>
    <x v="0"/>
    <x v="0"/>
    <x v="2"/>
  </r>
  <r>
    <x v="17"/>
    <x v="16"/>
    <x v="2"/>
    <x v="2"/>
    <n v="31249"/>
    <x v="1"/>
    <s v="$19.99"/>
    <n v="19.989999999999998"/>
    <s v=""/>
    <n v="1344"/>
    <d v="2024-12-06T00:00:00"/>
    <x v="1"/>
    <x v="2"/>
    <x v="6"/>
    <x v="0"/>
    <x v="0"/>
    <x v="2"/>
  </r>
  <r>
    <x v="18"/>
    <x v="17"/>
    <x v="2"/>
    <x v="2"/>
    <n v="22689"/>
    <x v="1"/>
    <s v="$19.93"/>
    <n v="19.93"/>
    <s v=""/>
    <n v="688"/>
    <d v="2023-09-12T00:00:00"/>
    <x v="8"/>
    <x v="9"/>
    <x v="0"/>
    <x v="0"/>
    <x v="0"/>
    <x v="2"/>
  </r>
  <r>
    <x v="19"/>
    <x v="18"/>
    <x v="2"/>
    <x v="2"/>
    <n v="4255"/>
    <x v="1"/>
    <s v="$19.58"/>
    <n v="19.579999999999998"/>
    <s v=""/>
    <n v="320"/>
    <d v="2024-04-30T00:00:00"/>
    <x v="2"/>
    <x v="2"/>
    <x v="7"/>
    <x v="9"/>
    <x v="0"/>
    <x v="2"/>
  </r>
  <r>
    <x v="20"/>
    <x v="19"/>
    <x v="4"/>
    <x v="4"/>
    <n v="147730"/>
    <x v="1"/>
    <s v="$19.23"/>
    <n v="19.23"/>
    <s v=""/>
    <n v="384"/>
    <d v="2024-07-30T00:00:00"/>
    <x v="1"/>
    <x v="2"/>
    <x v="0"/>
    <x v="10"/>
    <x v="2"/>
    <x v="2"/>
  </r>
  <r>
    <x v="21"/>
    <x v="20"/>
    <x v="1"/>
    <x v="1"/>
    <n v="145747"/>
    <x v="1"/>
    <s v="$18.88"/>
    <n v="18.88"/>
    <s v=""/>
    <n v="320"/>
    <d v="2018-10-16T00:00:00"/>
    <x v="5"/>
    <x v="10"/>
    <x v="8"/>
    <x v="11"/>
    <x v="0"/>
    <x v="2"/>
  </r>
  <r>
    <x v="22"/>
    <x v="21"/>
    <x v="5"/>
    <x v="5"/>
    <n v="46437"/>
    <x v="1"/>
    <s v="$18.12"/>
    <n v="18.12"/>
    <s v=""/>
    <n v="672"/>
    <d v="2025-11-18T00:00:00"/>
    <x v="1"/>
    <x v="2"/>
    <x v="0"/>
    <x v="12"/>
    <x v="1"/>
    <x v="2"/>
  </r>
  <r>
    <x v="23"/>
    <x v="22"/>
    <x v="3"/>
    <x v="3"/>
    <n v="19946"/>
    <x v="1"/>
    <s v="$18.00"/>
    <n v="18"/>
    <s v=""/>
    <n v="496"/>
    <d v="2023-03-28T00:00:00"/>
    <x v="2"/>
    <x v="11"/>
    <x v="9"/>
    <x v="13"/>
    <x v="1"/>
    <x v="2"/>
  </r>
  <r>
    <x v="24"/>
    <x v="23"/>
    <x v="2"/>
    <x v="2"/>
    <n v="16848"/>
    <x v="0"/>
    <s v="$17.98"/>
    <n v="17.98"/>
    <s v=""/>
    <n v="784"/>
    <d v="2015-11-17T00:00:00"/>
    <x v="9"/>
    <x v="2"/>
    <x v="0"/>
    <x v="14"/>
    <x v="0"/>
    <x v="2"/>
  </r>
  <r>
    <x v="25"/>
    <x v="24"/>
    <x v="3"/>
    <x v="3"/>
    <n v="94536"/>
    <x v="1"/>
    <s v="$17.96"/>
    <n v="17.96"/>
    <s v=""/>
    <n v="736"/>
    <d v="2023-05-02T00:00:00"/>
    <x v="1"/>
    <x v="12"/>
    <x v="0"/>
    <x v="0"/>
    <x v="1"/>
    <x v="2"/>
  </r>
  <r>
    <x v="26"/>
    <x v="25"/>
    <x v="1"/>
    <x v="1"/>
    <n v="127734"/>
    <x v="1"/>
    <s v="$17.62"/>
    <n v="17.62"/>
    <s v="7 years and up"/>
    <n v="128"/>
    <d v="2019-10-22T00:00:00"/>
    <x v="10"/>
    <x v="13"/>
    <x v="0"/>
    <x v="0"/>
    <x v="0"/>
    <x v="2"/>
  </r>
  <r>
    <x v="27"/>
    <x v="26"/>
    <x v="5"/>
    <x v="5"/>
    <n v="163368"/>
    <x v="0"/>
    <s v="$17.18"/>
    <n v="17.18"/>
    <s v=""/>
    <n v="627"/>
    <d v="2021-08-13T00:00:00"/>
    <x v="11"/>
    <x v="14"/>
    <x v="10"/>
    <x v="0"/>
    <x v="1"/>
    <x v="2"/>
  </r>
  <r>
    <x v="28"/>
    <x v="27"/>
    <x v="3"/>
    <x v="3"/>
    <n v="146667"/>
    <x v="1"/>
    <s v="$17.10"/>
    <n v="17.100000000000001"/>
    <s v=""/>
    <n v="560"/>
    <d v="2022-10-18T00:00:00"/>
    <x v="1"/>
    <x v="15"/>
    <x v="0"/>
    <x v="0"/>
    <x v="1"/>
    <x v="2"/>
  </r>
  <r>
    <x v="29"/>
    <x v="28"/>
    <x v="3"/>
    <x v="3"/>
    <n v="12421"/>
    <x v="1"/>
    <s v="$17.00"/>
    <n v="17"/>
    <s v=""/>
    <n v="256"/>
    <d v="2024-10-08T00:00:00"/>
    <x v="8"/>
    <x v="2"/>
    <x v="11"/>
    <x v="0"/>
    <x v="1"/>
    <x v="2"/>
  </r>
  <r>
    <x v="30"/>
    <x v="29"/>
    <x v="2"/>
    <x v="2"/>
    <n v="3765"/>
    <x v="0"/>
    <s v="$17.00"/>
    <n v="17"/>
    <s v=""/>
    <n v="360"/>
    <d v="2020-05-01T00:00:00"/>
    <x v="2"/>
    <x v="2"/>
    <x v="0"/>
    <x v="15"/>
    <x v="0"/>
    <x v="2"/>
  </r>
  <r>
    <x v="31"/>
    <x v="30"/>
    <x v="2"/>
    <x v="2"/>
    <n v="10805"/>
    <x v="1"/>
    <s v="$16.99"/>
    <n v="16.989999999999998"/>
    <s v=""/>
    <n v="432"/>
    <d v="2023-01-17T00:00:00"/>
    <x v="2"/>
    <x v="16"/>
    <x v="12"/>
    <x v="0"/>
    <x v="0"/>
    <x v="2"/>
  </r>
  <r>
    <x v="32"/>
    <x v="31"/>
    <x v="3"/>
    <x v="3"/>
    <n v="95147"/>
    <x v="1"/>
    <s v="$16.81"/>
    <n v="16.809999999999999"/>
    <s v=""/>
    <n v="320"/>
    <d v="2024-03-19T00:00:00"/>
    <x v="6"/>
    <x v="2"/>
    <x v="13"/>
    <x v="16"/>
    <x v="1"/>
    <x v="2"/>
  </r>
  <r>
    <x v="33"/>
    <x v="32"/>
    <x v="0"/>
    <x v="0"/>
    <n v="13217"/>
    <x v="1"/>
    <s v="$16.78"/>
    <n v="16.78"/>
    <s v=""/>
    <n v="256"/>
    <d v="2023-07-25T00:00:00"/>
    <x v="12"/>
    <x v="17"/>
    <x v="0"/>
    <x v="0"/>
    <x v="0"/>
    <x v="2"/>
  </r>
  <r>
    <x v="34"/>
    <x v="33"/>
    <x v="6"/>
    <x v="6"/>
    <n v="15013"/>
    <x v="1"/>
    <s v="$16.49"/>
    <n v="16.489999999999998"/>
    <s v=""/>
    <n v="592"/>
    <d v="2024-04-30T00:00:00"/>
    <x v="8"/>
    <x v="2"/>
    <x v="14"/>
    <x v="0"/>
    <x v="1"/>
    <x v="2"/>
  </r>
  <r>
    <x v="35"/>
    <x v="34"/>
    <x v="2"/>
    <x v="2"/>
    <n v="17892"/>
    <x v="1"/>
    <s v="$16.45"/>
    <n v="16.45"/>
    <s v=""/>
    <n v="400"/>
    <d v="2025-10-21T00:00:00"/>
    <x v="8"/>
    <x v="2"/>
    <x v="0"/>
    <x v="17"/>
    <x v="0"/>
    <x v="2"/>
  </r>
  <r>
    <x v="36"/>
    <x v="35"/>
    <x v="6"/>
    <x v="6"/>
    <n v="97696"/>
    <x v="1"/>
    <s v="$15.79"/>
    <n v="15.79"/>
    <s v=""/>
    <n v="608"/>
    <d v="2024-06-25T00:00:00"/>
    <x v="11"/>
    <x v="2"/>
    <x v="15"/>
    <x v="0"/>
    <x v="1"/>
    <x v="2"/>
  </r>
  <r>
    <x v="37"/>
    <x v="36"/>
    <x v="2"/>
    <x v="2"/>
    <n v="109703"/>
    <x v="0"/>
    <s v="$15.44"/>
    <n v="15.44"/>
    <s v=""/>
    <n v="320"/>
    <d v="1998-10-01T00:00:00"/>
    <x v="5"/>
    <x v="18"/>
    <x v="16"/>
    <x v="0"/>
    <x v="0"/>
    <x v="2"/>
  </r>
  <r>
    <x v="38"/>
    <x v="37"/>
    <x v="6"/>
    <x v="6"/>
    <n v="71453"/>
    <x v="1"/>
    <s v="$15.43"/>
    <n v="15.43"/>
    <s v=""/>
    <n v="320"/>
    <d v="2025-03-04T00:00:00"/>
    <x v="1"/>
    <x v="2"/>
    <x v="0"/>
    <x v="18"/>
    <x v="1"/>
    <x v="2"/>
  </r>
  <r>
    <x v="39"/>
    <x v="38"/>
    <x v="5"/>
    <x v="5"/>
    <n v="109729"/>
    <x v="1"/>
    <s v="$15.35"/>
    <n v="15.35"/>
    <s v=""/>
    <n v="496"/>
    <d v="2024-07-02T00:00:00"/>
    <x v="1"/>
    <x v="2"/>
    <x v="17"/>
    <x v="19"/>
    <x v="1"/>
    <x v="2"/>
  </r>
  <r>
    <x v="40"/>
    <x v="39"/>
    <x v="3"/>
    <x v="3"/>
    <n v="7711"/>
    <x v="1"/>
    <s v="$15.18"/>
    <n v="15.18"/>
    <s v=""/>
    <n v="320"/>
    <d v="2025-09-23T00:00:00"/>
    <x v="6"/>
    <x v="2"/>
    <x v="0"/>
    <x v="20"/>
    <x v="1"/>
    <x v="2"/>
  </r>
  <r>
    <x v="41"/>
    <x v="40"/>
    <x v="5"/>
    <x v="5"/>
    <n v="73210"/>
    <x v="1"/>
    <s v="$15.05"/>
    <n v="15.05"/>
    <s v=""/>
    <n v="400"/>
    <d v="2023-08-08T00:00:00"/>
    <x v="1"/>
    <x v="19"/>
    <x v="18"/>
    <x v="0"/>
    <x v="1"/>
    <x v="2"/>
  </r>
  <r>
    <x v="42"/>
    <x v="41"/>
    <x v="3"/>
    <x v="3"/>
    <n v="88321"/>
    <x v="3"/>
    <s v="$14.99"/>
    <n v="14.99"/>
    <s v="1 year and up"/>
    <n v="220"/>
    <d v="2018-04-25T00:00:00"/>
    <x v="0"/>
    <x v="20"/>
    <x v="19"/>
    <x v="21"/>
    <x v="1"/>
    <x v="2"/>
  </r>
  <r>
    <x v="43"/>
    <x v="42"/>
    <x v="1"/>
    <x v="1"/>
    <n v="23786"/>
    <x v="0"/>
    <s v="$14.98"/>
    <n v="14.98"/>
    <s v="5 years and up"/>
    <n v="80"/>
    <d v="2001-05-29T00:00:00"/>
    <x v="0"/>
    <x v="2"/>
    <x v="0"/>
    <x v="22"/>
    <x v="0"/>
    <x v="2"/>
  </r>
  <r>
    <x v="44"/>
    <x v="43"/>
    <x v="3"/>
    <x v="3"/>
    <n v="5091"/>
    <x v="1"/>
    <s v="$14.88"/>
    <n v="14.88"/>
    <s v=""/>
    <n v="400"/>
    <d v="2024-05-14T00:00:00"/>
    <x v="2"/>
    <x v="2"/>
    <x v="20"/>
    <x v="0"/>
    <x v="1"/>
    <x v="2"/>
  </r>
  <r>
    <x v="45"/>
    <x v="44"/>
    <x v="1"/>
    <x v="1"/>
    <n v="17084"/>
    <x v="1"/>
    <s v="$14.78"/>
    <n v="14.78"/>
    <s v=""/>
    <n v="384"/>
    <d v="2023-12-05T00:00:00"/>
    <x v="8"/>
    <x v="21"/>
    <x v="0"/>
    <x v="0"/>
    <x v="0"/>
    <x v="2"/>
  </r>
  <r>
    <x v="46"/>
    <x v="45"/>
    <x v="2"/>
    <x v="2"/>
    <n v="13739"/>
    <x v="0"/>
    <s v="$14.71"/>
    <n v="14.71"/>
    <s v=""/>
    <n v="721"/>
    <d v="2006-05-01T00:00:00"/>
    <x v="8"/>
    <x v="22"/>
    <x v="0"/>
    <x v="0"/>
    <x v="0"/>
    <x v="2"/>
  </r>
  <r>
    <x v="47"/>
    <x v="46"/>
    <x v="3"/>
    <x v="3"/>
    <n v="129211"/>
    <x v="3"/>
    <s v="$14.53"/>
    <n v="14.53"/>
    <s v=""/>
    <n v="368"/>
    <d v="2022-05-03T00:00:00"/>
    <x v="11"/>
    <x v="23"/>
    <x v="21"/>
    <x v="0"/>
    <x v="1"/>
    <x v="2"/>
  </r>
  <r>
    <x v="48"/>
    <x v="47"/>
    <x v="5"/>
    <x v="5"/>
    <n v="39574"/>
    <x v="1"/>
    <s v="$14.47"/>
    <n v="14.47"/>
    <s v="1 year and up"/>
    <n v="352"/>
    <d v="2023-04-18T00:00:00"/>
    <x v="8"/>
    <x v="24"/>
    <x v="0"/>
    <x v="0"/>
    <x v="1"/>
    <x v="2"/>
  </r>
  <r>
    <x v="49"/>
    <x v="48"/>
    <x v="1"/>
    <x v="1"/>
    <n v="82564"/>
    <x v="0"/>
    <s v="$14.39"/>
    <n v="14.39"/>
    <s v="18 years and up"/>
    <n v="464"/>
    <d v="2015-09-08T00:00:00"/>
    <x v="2"/>
    <x v="25"/>
    <x v="22"/>
    <x v="23"/>
    <x v="0"/>
    <x v="2"/>
  </r>
  <r>
    <x v="50"/>
    <x v="49"/>
    <x v="2"/>
    <x v="2"/>
    <n v="68563"/>
    <x v="0"/>
    <s v="$14.18"/>
    <n v="14.18"/>
    <s v=""/>
    <n v="256"/>
    <d v="2020-09-08T00:00:00"/>
    <x v="13"/>
    <x v="26"/>
    <x v="23"/>
    <x v="24"/>
    <x v="0"/>
    <x v="2"/>
  </r>
  <r>
    <x v="51"/>
    <x v="50"/>
    <x v="1"/>
    <x v="1"/>
    <n v="22304"/>
    <x v="1"/>
    <s v="$14.13"/>
    <n v="14.13"/>
    <s v="3 years and up"/>
    <n v="144"/>
    <d v="2006-05-01T00:00:00"/>
    <x v="0"/>
    <x v="2"/>
    <x v="0"/>
    <x v="25"/>
    <x v="0"/>
    <x v="2"/>
  </r>
  <r>
    <x v="52"/>
    <x v="51"/>
    <x v="1"/>
    <x v="1"/>
    <n v="6058"/>
    <x v="1"/>
    <s v="$14.06"/>
    <n v="14.06"/>
    <s v="1 year and up"/>
    <n v="208"/>
    <d v="2024-07-23T00:00:00"/>
    <x v="0"/>
    <x v="2"/>
    <x v="24"/>
    <x v="0"/>
    <x v="0"/>
    <x v="2"/>
  </r>
  <r>
    <x v="53"/>
    <x v="52"/>
    <x v="3"/>
    <x v="3"/>
    <n v="11570"/>
    <x v="1"/>
    <s v="$14.01"/>
    <n v="14.01"/>
    <s v=""/>
    <n v="400"/>
    <d v="2024-03-26T00:00:00"/>
    <x v="14"/>
    <x v="2"/>
    <x v="25"/>
    <x v="26"/>
    <x v="1"/>
    <x v="2"/>
  </r>
  <r>
    <x v="54"/>
    <x v="53"/>
    <x v="5"/>
    <x v="5"/>
    <n v="49468"/>
    <x v="1"/>
    <s v="$14.00"/>
    <n v="14"/>
    <s v=""/>
    <n v="688"/>
    <d v="2025-09-09T00:00:00"/>
    <x v="11"/>
    <x v="2"/>
    <x v="0"/>
    <x v="27"/>
    <x v="1"/>
    <x v="2"/>
  </r>
  <r>
    <x v="55"/>
    <x v="54"/>
    <x v="2"/>
    <x v="2"/>
    <n v="87375"/>
    <x v="0"/>
    <s v="$13.99"/>
    <n v="13.99"/>
    <s v=""/>
    <n v="452"/>
    <d v="2000-09-01T00:00:00"/>
    <x v="6"/>
    <x v="27"/>
    <x v="26"/>
    <x v="28"/>
    <x v="0"/>
    <x v="2"/>
  </r>
  <r>
    <x v="56"/>
    <x v="55"/>
    <x v="6"/>
    <x v="6"/>
    <n v="43046"/>
    <x v="1"/>
    <s v="$13.98"/>
    <n v="13.98"/>
    <s v=""/>
    <n v="464"/>
    <d v="2023-09-05T00:00:00"/>
    <x v="11"/>
    <x v="28"/>
    <x v="0"/>
    <x v="0"/>
    <x v="1"/>
    <x v="2"/>
  </r>
  <r>
    <x v="57"/>
    <x v="56"/>
    <x v="2"/>
    <x v="2"/>
    <n v="186767"/>
    <x v="0"/>
    <s v="$13.98"/>
    <n v="13.98"/>
    <s v=""/>
    <n v="496"/>
    <d v="2022-10-04T00:00:00"/>
    <x v="11"/>
    <x v="2"/>
    <x v="0"/>
    <x v="29"/>
    <x v="0"/>
    <x v="2"/>
  </r>
  <r>
    <x v="58"/>
    <x v="57"/>
    <x v="5"/>
    <x v="5"/>
    <n v="109707"/>
    <x v="1"/>
    <s v="$13.97"/>
    <n v="13.97"/>
    <s v=""/>
    <n v="400"/>
    <d v="2023-03-14T00:00:00"/>
    <x v="1"/>
    <x v="29"/>
    <x v="0"/>
    <x v="0"/>
    <x v="1"/>
    <x v="2"/>
  </r>
  <r>
    <x v="59"/>
    <x v="58"/>
    <x v="3"/>
    <x v="3"/>
    <n v="322650"/>
    <x v="1"/>
    <s v="$13.94"/>
    <n v="13.94"/>
    <s v=""/>
    <n v="400"/>
    <d v="2022-04-05T00:00:00"/>
    <x v="1"/>
    <x v="30"/>
    <x v="0"/>
    <x v="0"/>
    <x v="1"/>
    <x v="2"/>
  </r>
  <r>
    <x v="60"/>
    <x v="59"/>
    <x v="5"/>
    <x v="5"/>
    <n v="46020"/>
    <x v="1"/>
    <s v="$13.87"/>
    <n v="13.87"/>
    <s v=""/>
    <n v="416"/>
    <d v="2025-10-21T00:00:00"/>
    <x v="11"/>
    <x v="2"/>
    <x v="0"/>
    <x v="30"/>
    <x v="1"/>
    <x v="2"/>
  </r>
  <r>
    <x v="61"/>
    <x v="60"/>
    <x v="3"/>
    <x v="3"/>
    <n v="13716"/>
    <x v="1"/>
    <s v="$13.73"/>
    <n v="13.73"/>
    <s v=""/>
    <n v="320"/>
    <d v="2024-10-01T00:00:00"/>
    <x v="8"/>
    <x v="2"/>
    <x v="27"/>
    <x v="0"/>
    <x v="1"/>
    <x v="2"/>
  </r>
  <r>
    <x v="62"/>
    <x v="6"/>
    <x v="1"/>
    <x v="1"/>
    <n v="472618"/>
    <x v="0"/>
    <s v="$13.62"/>
    <n v="13.62"/>
    <s v=""/>
    <n v="544"/>
    <d v="2024-09-17T00:00:00"/>
    <x v="1"/>
    <x v="31"/>
    <x v="28"/>
    <x v="31"/>
    <x v="0"/>
    <x v="2"/>
  </r>
  <r>
    <x v="63"/>
    <x v="61"/>
    <x v="5"/>
    <x v="5"/>
    <n v="124288"/>
    <x v="0"/>
    <s v="$13.51"/>
    <n v="13.51"/>
    <s v=""/>
    <n v="288"/>
    <d v="2018-05-01T00:00:00"/>
    <x v="9"/>
    <x v="2"/>
    <x v="29"/>
    <x v="0"/>
    <x v="1"/>
    <x v="2"/>
  </r>
  <r>
    <x v="64"/>
    <x v="14"/>
    <x v="2"/>
    <x v="2"/>
    <n v="396005"/>
    <x v="0"/>
    <s v="$13.48"/>
    <n v="13.48"/>
    <s v=""/>
    <n v="608"/>
    <d v="2017-04-25T00:00:00"/>
    <x v="1"/>
    <x v="32"/>
    <x v="30"/>
    <x v="32"/>
    <x v="0"/>
    <x v="2"/>
  </r>
  <r>
    <x v="65"/>
    <x v="62"/>
    <x v="2"/>
    <x v="2"/>
    <n v="85367"/>
    <x v="1"/>
    <s v="$13.48"/>
    <n v="13.48"/>
    <s v="12 years and up"/>
    <n v="400"/>
    <d v="2025-03-18T00:00:00"/>
    <x v="1"/>
    <x v="2"/>
    <x v="0"/>
    <x v="33"/>
    <x v="0"/>
    <x v="2"/>
  </r>
  <r>
    <x v="66"/>
    <x v="63"/>
    <x v="1"/>
    <x v="1"/>
    <n v="5751"/>
    <x v="1"/>
    <s v="$13.47"/>
    <n v="13.47"/>
    <s v=""/>
    <n v="400"/>
    <d v="2023-09-19T00:00:00"/>
    <x v="6"/>
    <x v="33"/>
    <x v="0"/>
    <x v="0"/>
    <x v="0"/>
    <x v="2"/>
  </r>
  <r>
    <x v="67"/>
    <x v="64"/>
    <x v="6"/>
    <x v="6"/>
    <n v="158416"/>
    <x v="1"/>
    <s v="$13.43"/>
    <n v="13.43"/>
    <s v=""/>
    <n v="224"/>
    <d v="2016-09-13T00:00:00"/>
    <x v="5"/>
    <x v="34"/>
    <x v="0"/>
    <x v="0"/>
    <x v="1"/>
    <x v="2"/>
  </r>
  <r>
    <x v="68"/>
    <x v="65"/>
    <x v="5"/>
    <x v="5"/>
    <n v="129310"/>
    <x v="1"/>
    <s v="$13.28"/>
    <n v="13.28"/>
    <s v=""/>
    <n v="416"/>
    <d v="2022-07-05T00:00:00"/>
    <x v="1"/>
    <x v="35"/>
    <x v="0"/>
    <x v="0"/>
    <x v="1"/>
    <x v="2"/>
  </r>
  <r>
    <x v="69"/>
    <x v="59"/>
    <x v="7"/>
    <x v="7"/>
    <n v="72785"/>
    <x v="1"/>
    <s v="$12.97"/>
    <n v="12.97"/>
    <s v=""/>
    <n v="352"/>
    <d v="2023-10-17T00:00:00"/>
    <x v="11"/>
    <x v="36"/>
    <x v="0"/>
    <x v="0"/>
    <x v="2"/>
    <x v="2"/>
  </r>
  <r>
    <x v="70"/>
    <x v="66"/>
    <x v="3"/>
    <x v="3"/>
    <n v="50581"/>
    <x v="1"/>
    <s v="$12.97"/>
    <n v="12.97"/>
    <s v=""/>
    <n v="448"/>
    <d v="2025-05-06T00:00:00"/>
    <x v="1"/>
    <x v="2"/>
    <x v="0"/>
    <x v="34"/>
    <x v="1"/>
    <x v="2"/>
  </r>
  <r>
    <x v="71"/>
    <x v="67"/>
    <x v="2"/>
    <x v="2"/>
    <n v="96578"/>
    <x v="0"/>
    <s v="$12.86"/>
    <n v="12.86"/>
    <s v=""/>
    <n v="184"/>
    <d v="2006-06-01T00:00:00"/>
    <x v="9"/>
    <x v="2"/>
    <x v="0"/>
    <x v="35"/>
    <x v="0"/>
    <x v="2"/>
  </r>
  <r>
    <x v="72"/>
    <x v="68"/>
    <x v="1"/>
    <x v="1"/>
    <n v="5959"/>
    <x v="0"/>
    <s v="$12.84"/>
    <n v="12.84"/>
    <s v=""/>
    <n v="386"/>
    <d v="2023-06-13T00:00:00"/>
    <x v="15"/>
    <x v="2"/>
    <x v="31"/>
    <x v="36"/>
    <x v="0"/>
    <x v="2"/>
  </r>
  <r>
    <x v="73"/>
    <x v="1"/>
    <x v="2"/>
    <x v="2"/>
    <n v="269981"/>
    <x v="0"/>
    <s v="$12.81"/>
    <n v="12.81"/>
    <s v=""/>
    <n v="736"/>
    <d v="2020-06-02T00:00:00"/>
    <x v="1"/>
    <x v="37"/>
    <x v="32"/>
    <x v="0"/>
    <x v="0"/>
    <x v="2"/>
  </r>
  <r>
    <x v="74"/>
    <x v="69"/>
    <x v="2"/>
    <x v="2"/>
    <n v="7992"/>
    <x v="1"/>
    <s v="$12.81"/>
    <n v="12.81"/>
    <s v=""/>
    <n v="352"/>
    <d v="2022-12-27T00:00:00"/>
    <x v="2"/>
    <x v="38"/>
    <x v="0"/>
    <x v="0"/>
    <x v="0"/>
    <x v="2"/>
  </r>
  <r>
    <x v="75"/>
    <x v="1"/>
    <x v="3"/>
    <x v="3"/>
    <n v="314472"/>
    <x v="0"/>
    <s v="$12.80"/>
    <n v="12.8"/>
    <s v=""/>
    <n v="448"/>
    <d v="2020-06-02T00:00:00"/>
    <x v="1"/>
    <x v="39"/>
    <x v="33"/>
    <x v="0"/>
    <x v="1"/>
    <x v="2"/>
  </r>
  <r>
    <x v="76"/>
    <x v="1"/>
    <x v="8"/>
    <x v="8"/>
    <n v="181184"/>
    <x v="0"/>
    <s v="$12.74"/>
    <n v="12.74"/>
    <s v=""/>
    <n v="272"/>
    <d v="2020-06-02T00:00:00"/>
    <x v="1"/>
    <x v="40"/>
    <x v="34"/>
    <x v="0"/>
    <x v="2"/>
    <x v="2"/>
  </r>
  <r>
    <x v="77"/>
    <x v="70"/>
    <x v="8"/>
    <x v="8"/>
    <n v="270851"/>
    <x v="0"/>
    <s v="$12.58"/>
    <n v="12.58"/>
    <s v=""/>
    <n v="400"/>
    <d v="2024-06-11T00:00:00"/>
    <x v="1"/>
    <x v="2"/>
    <x v="35"/>
    <x v="37"/>
    <x v="2"/>
    <x v="2"/>
  </r>
  <r>
    <x v="78"/>
    <x v="71"/>
    <x v="3"/>
    <x v="3"/>
    <n v="22994"/>
    <x v="1"/>
    <s v="$12.54"/>
    <n v="12.54"/>
    <s v=""/>
    <n v="192"/>
    <d v="2024-10-29T00:00:00"/>
    <x v="5"/>
    <x v="2"/>
    <x v="36"/>
    <x v="38"/>
    <x v="1"/>
    <x v="2"/>
  </r>
  <r>
    <x v="79"/>
    <x v="72"/>
    <x v="8"/>
    <x v="8"/>
    <n v="107168"/>
    <x v="1"/>
    <s v="$12.29"/>
    <n v="12.29"/>
    <s v=""/>
    <n v="400"/>
    <d v="2023-04-25T00:00:00"/>
    <x v="1"/>
    <x v="41"/>
    <x v="0"/>
    <x v="0"/>
    <x v="2"/>
    <x v="2"/>
  </r>
  <r>
    <x v="80"/>
    <x v="1"/>
    <x v="1"/>
    <x v="1"/>
    <n v="287325"/>
    <x v="0"/>
    <s v="$12.16"/>
    <n v="12.16"/>
    <s v=""/>
    <n v="656"/>
    <d v="2020-06-02T00:00:00"/>
    <x v="1"/>
    <x v="42"/>
    <x v="37"/>
    <x v="0"/>
    <x v="0"/>
    <x v="2"/>
  </r>
  <r>
    <x v="81"/>
    <x v="73"/>
    <x v="3"/>
    <x v="3"/>
    <n v="443390"/>
    <x v="0"/>
    <s v="$12.09"/>
    <n v="12.09"/>
    <s v=""/>
    <n v="336"/>
    <d v="2021-10-26T00:00:00"/>
    <x v="1"/>
    <x v="43"/>
    <x v="38"/>
    <x v="39"/>
    <x v="1"/>
    <x v="2"/>
  </r>
  <r>
    <x v="82"/>
    <x v="74"/>
    <x v="1"/>
    <x v="1"/>
    <n v="40073"/>
    <x v="1"/>
    <s v="$12.00"/>
    <n v="12"/>
    <s v="1 year and up"/>
    <n v="192"/>
    <d v="2018-10-23T00:00:00"/>
    <x v="12"/>
    <x v="44"/>
    <x v="39"/>
    <x v="40"/>
    <x v="0"/>
    <x v="2"/>
  </r>
  <r>
    <x v="83"/>
    <x v="75"/>
    <x v="6"/>
    <x v="6"/>
    <n v="116101"/>
    <x v="1"/>
    <s v="$11.99"/>
    <n v="11.99"/>
    <s v=""/>
    <n v="416"/>
    <d v="2023-01-10T00:00:00"/>
    <x v="8"/>
    <x v="45"/>
    <x v="0"/>
    <x v="0"/>
    <x v="1"/>
    <x v="2"/>
  </r>
  <r>
    <x v="84"/>
    <x v="76"/>
    <x v="1"/>
    <x v="1"/>
    <n v="26464"/>
    <x v="1"/>
    <s v="$11.99"/>
    <n v="11.99"/>
    <s v="1 year and up"/>
    <n v="24"/>
    <d v="2013-01-31T00:00:00"/>
    <x v="0"/>
    <x v="46"/>
    <x v="40"/>
    <x v="0"/>
    <x v="0"/>
    <x v="2"/>
  </r>
  <r>
    <x v="85"/>
    <x v="76"/>
    <x v="1"/>
    <x v="1"/>
    <n v="26451"/>
    <x v="1"/>
    <s v="$11.99"/>
    <n v="11.99"/>
    <s v="1 year and up"/>
    <n v="24"/>
    <d v="2013-01-31T00:00:00"/>
    <x v="0"/>
    <x v="2"/>
    <x v="0"/>
    <x v="41"/>
    <x v="0"/>
    <x v="2"/>
  </r>
  <r>
    <x v="86"/>
    <x v="77"/>
    <x v="3"/>
    <x v="3"/>
    <n v="101295"/>
    <x v="0"/>
    <s v="$11.99"/>
    <n v="11.99"/>
    <s v=""/>
    <n v="448"/>
    <d v="2024-11-05T00:00:00"/>
    <x v="1"/>
    <x v="2"/>
    <x v="0"/>
    <x v="42"/>
    <x v="1"/>
    <x v="2"/>
  </r>
  <r>
    <x v="87"/>
    <x v="78"/>
    <x v="2"/>
    <x v="2"/>
    <n v="3004"/>
    <x v="0"/>
    <s v="$11.99"/>
    <n v="11.99"/>
    <s v="7 years and up"/>
    <n v="144"/>
    <d v="2021-09-22T00:00:00"/>
    <x v="16"/>
    <x v="2"/>
    <x v="0"/>
    <x v="43"/>
    <x v="0"/>
    <x v="2"/>
  </r>
  <r>
    <x v="88"/>
    <x v="79"/>
    <x v="2"/>
    <x v="2"/>
    <n v="20096"/>
    <x v="0"/>
    <s v="$11.95"/>
    <n v="11.95"/>
    <s v=""/>
    <n v="108"/>
    <d v="2019-07-19T00:00:00"/>
    <x v="14"/>
    <x v="2"/>
    <x v="41"/>
    <x v="44"/>
    <x v="0"/>
    <x v="2"/>
  </r>
  <r>
    <x v="89"/>
    <x v="80"/>
    <x v="5"/>
    <x v="5"/>
    <n v="51520"/>
    <x v="1"/>
    <s v="$11.37"/>
    <n v="11.37"/>
    <s v=""/>
    <n v="288"/>
    <d v="2023-10-24T00:00:00"/>
    <x v="8"/>
    <x v="47"/>
    <x v="0"/>
    <x v="0"/>
    <x v="1"/>
    <x v="2"/>
  </r>
  <r>
    <x v="90"/>
    <x v="6"/>
    <x v="2"/>
    <x v="2"/>
    <n v="395512"/>
    <x v="1"/>
    <s v="$11.05"/>
    <n v="11.05"/>
    <s v=""/>
    <n v="640"/>
    <d v="2023-11-07T00:00:00"/>
    <x v="1"/>
    <x v="48"/>
    <x v="42"/>
    <x v="0"/>
    <x v="0"/>
    <x v="2"/>
  </r>
  <r>
    <x v="91"/>
    <x v="81"/>
    <x v="2"/>
    <x v="2"/>
    <n v="5575"/>
    <x v="1"/>
    <s v="$10.97"/>
    <n v="10.97"/>
    <s v="9 years and up"/>
    <n v="224"/>
    <d v="2025-10-21T00:00:00"/>
    <x v="17"/>
    <x v="2"/>
    <x v="0"/>
    <x v="45"/>
    <x v="0"/>
    <x v="2"/>
  </r>
  <r>
    <x v="92"/>
    <x v="82"/>
    <x v="0"/>
    <x v="0"/>
    <n v="27964"/>
    <x v="1"/>
    <s v="$10.93"/>
    <n v="10.93"/>
    <s v="2 years and up"/>
    <n v="512"/>
    <d v="2016-10-04T00:00:00"/>
    <x v="4"/>
    <x v="2"/>
    <x v="0"/>
    <x v="46"/>
    <x v="0"/>
    <x v="2"/>
  </r>
  <r>
    <x v="93"/>
    <x v="83"/>
    <x v="2"/>
    <x v="2"/>
    <n v="6506"/>
    <x v="0"/>
    <s v="$10.90"/>
    <n v="10.9"/>
    <s v="6 years and up"/>
    <n v="110"/>
    <d v="2023-11-18T00:00:00"/>
    <x v="16"/>
    <x v="2"/>
    <x v="43"/>
    <x v="47"/>
    <x v="0"/>
    <x v="2"/>
  </r>
  <r>
    <x v="94"/>
    <x v="84"/>
    <x v="6"/>
    <x v="6"/>
    <n v="60311"/>
    <x v="1"/>
    <s v="$10.83"/>
    <n v="10.83"/>
    <s v=""/>
    <n v="272"/>
    <d v="2022-11-01T00:00:00"/>
    <x v="18"/>
    <x v="49"/>
    <x v="0"/>
    <x v="0"/>
    <x v="1"/>
    <x v="2"/>
  </r>
  <r>
    <x v="95"/>
    <x v="62"/>
    <x v="6"/>
    <x v="6"/>
    <n v="105084"/>
    <x v="0"/>
    <s v="$10.83"/>
    <n v="10.83"/>
    <s v="12 years and up "/>
    <n v="528"/>
    <d v="2023-08-01T00:00:00"/>
    <x v="1"/>
    <x v="50"/>
    <x v="0"/>
    <x v="0"/>
    <x v="1"/>
    <x v="2"/>
  </r>
  <r>
    <x v="96"/>
    <x v="1"/>
    <x v="3"/>
    <x v="3"/>
    <n v="170525"/>
    <x v="0"/>
    <s v="$10.70"/>
    <n v="10.7"/>
    <s v=""/>
    <n v="432"/>
    <d v="2023-02-14T00:00:00"/>
    <x v="1"/>
    <x v="2"/>
    <x v="44"/>
    <x v="0"/>
    <x v="1"/>
    <x v="2"/>
  </r>
  <r>
    <x v="97"/>
    <x v="14"/>
    <x v="3"/>
    <x v="3"/>
    <n v="197412"/>
    <x v="0"/>
    <s v="$10.45"/>
    <n v="10.45"/>
    <s v=""/>
    <n v="576"/>
    <d v="2019-09-24T00:00:00"/>
    <x v="1"/>
    <x v="2"/>
    <x v="45"/>
    <x v="0"/>
    <x v="1"/>
    <x v="2"/>
  </r>
  <r>
    <x v="98"/>
    <x v="85"/>
    <x v="3"/>
    <x v="3"/>
    <n v="15400"/>
    <x v="0"/>
    <s v="$10.41"/>
    <n v="10.41"/>
    <s v=""/>
    <n v="196"/>
    <d v="2022-07-18T00:00:00"/>
    <x v="15"/>
    <x v="51"/>
    <x v="46"/>
    <x v="0"/>
    <x v="1"/>
    <x v="2"/>
  </r>
  <r>
    <x v="99"/>
    <x v="86"/>
    <x v="1"/>
    <x v="1"/>
    <n v="27090"/>
    <x v="0"/>
    <s v="$10.21"/>
    <n v="10.210000000000001"/>
    <s v=""/>
    <n v="216"/>
    <d v="2015-06-01T00:00:00"/>
    <x v="5"/>
    <x v="52"/>
    <x v="0"/>
    <x v="0"/>
    <x v="0"/>
    <x v="2"/>
  </r>
  <r>
    <x v="100"/>
    <x v="87"/>
    <x v="2"/>
    <x v="2"/>
    <n v="14647"/>
    <x v="0"/>
    <s v="$10.20"/>
    <n v="10.199999999999999"/>
    <s v=""/>
    <n v="200"/>
    <d v="2021-03-01T00:00:00"/>
    <x v="13"/>
    <x v="53"/>
    <x v="0"/>
    <x v="0"/>
    <x v="0"/>
    <x v="2"/>
  </r>
  <r>
    <x v="101"/>
    <x v="88"/>
    <x v="6"/>
    <x v="6"/>
    <n v="235857"/>
    <x v="0"/>
    <s v="$10.18"/>
    <n v="10.18"/>
    <s v=""/>
    <n v="544"/>
    <d v="2017-04-04T00:00:00"/>
    <x v="1"/>
    <x v="54"/>
    <x v="0"/>
    <x v="0"/>
    <x v="1"/>
    <x v="2"/>
  </r>
  <r>
    <x v="102"/>
    <x v="89"/>
    <x v="3"/>
    <x v="3"/>
    <n v="22419"/>
    <x v="1"/>
    <s v="$10.18"/>
    <n v="10.18"/>
    <s v=""/>
    <n v="704"/>
    <d v="2012-04-01T00:00:00"/>
    <x v="3"/>
    <x v="2"/>
    <x v="47"/>
    <x v="48"/>
    <x v="1"/>
    <x v="2"/>
  </r>
  <r>
    <x v="103"/>
    <x v="90"/>
    <x v="3"/>
    <x v="3"/>
    <n v="23034"/>
    <x v="0"/>
    <s v="$10.17"/>
    <n v="10.17"/>
    <s v=""/>
    <n v="352"/>
    <d v="2019-05-14T00:00:00"/>
    <x v="13"/>
    <x v="55"/>
    <x v="0"/>
    <x v="0"/>
    <x v="1"/>
    <x v="2"/>
  </r>
  <r>
    <x v="104"/>
    <x v="47"/>
    <x v="5"/>
    <x v="5"/>
    <n v="80996"/>
    <x v="0"/>
    <s v="$9.99"/>
    <n v="9.99"/>
    <s v=""/>
    <n v="416"/>
    <d v="2018-04-03T00:00:00"/>
    <x v="6"/>
    <x v="56"/>
    <x v="0"/>
    <x v="0"/>
    <x v="1"/>
    <x v="2"/>
  </r>
  <r>
    <x v="105"/>
    <x v="91"/>
    <x v="8"/>
    <x v="8"/>
    <n v="142671"/>
    <x v="0"/>
    <s v="$9.99"/>
    <n v="9.99"/>
    <s v=""/>
    <n v="352"/>
    <d v="2022-09-27T00:00:00"/>
    <x v="1"/>
    <x v="57"/>
    <x v="0"/>
    <x v="0"/>
    <x v="2"/>
    <x v="2"/>
  </r>
  <r>
    <x v="106"/>
    <x v="92"/>
    <x v="1"/>
    <x v="1"/>
    <n v="9897"/>
    <x v="0"/>
    <s v="$9.99"/>
    <n v="9.99"/>
    <s v="16 years and up"/>
    <n v="88"/>
    <d v="2024-05-29T00:00:00"/>
    <x v="16"/>
    <x v="2"/>
    <x v="48"/>
    <x v="49"/>
    <x v="0"/>
    <x v="2"/>
  </r>
  <r>
    <x v="107"/>
    <x v="92"/>
    <x v="1"/>
    <x v="1"/>
    <n v="10232"/>
    <x v="0"/>
    <s v="$9.99"/>
    <n v="9.99"/>
    <s v=""/>
    <n v="88"/>
    <d v="2024-05-22T00:00:00"/>
    <x v="16"/>
    <x v="2"/>
    <x v="49"/>
    <x v="50"/>
    <x v="0"/>
    <x v="2"/>
  </r>
  <r>
    <x v="108"/>
    <x v="92"/>
    <x v="1"/>
    <x v="1"/>
    <n v="6869"/>
    <x v="0"/>
    <s v="$9.99"/>
    <n v="9.99"/>
    <s v="14 years and up"/>
    <n v="110"/>
    <d v="2024-05-04T00:00:00"/>
    <x v="16"/>
    <x v="2"/>
    <x v="50"/>
    <x v="51"/>
    <x v="0"/>
    <x v="2"/>
  </r>
  <r>
    <x v="109"/>
    <x v="92"/>
    <x v="1"/>
    <x v="1"/>
    <n v="6443"/>
    <x v="0"/>
    <s v="$9.99"/>
    <n v="9.99"/>
    <s v=""/>
    <n v="88"/>
    <d v="2024-07-09T00:00:00"/>
    <x v="16"/>
    <x v="2"/>
    <x v="51"/>
    <x v="52"/>
    <x v="0"/>
    <x v="2"/>
  </r>
  <r>
    <x v="110"/>
    <x v="93"/>
    <x v="3"/>
    <x v="3"/>
    <n v="34573"/>
    <x v="0"/>
    <s v="$9.99"/>
    <n v="9.99"/>
    <s v="8 years and up"/>
    <n v="79"/>
    <d v="2017-05-17T00:00:00"/>
    <x v="16"/>
    <x v="2"/>
    <x v="52"/>
    <x v="0"/>
    <x v="1"/>
    <x v="2"/>
  </r>
  <r>
    <x v="111"/>
    <x v="92"/>
    <x v="1"/>
    <x v="1"/>
    <n v="8113"/>
    <x v="0"/>
    <s v="$9.99"/>
    <n v="9.99"/>
    <s v=""/>
    <n v="88"/>
    <d v="2024-10-26T00:00:00"/>
    <x v="16"/>
    <x v="2"/>
    <x v="0"/>
    <x v="53"/>
    <x v="0"/>
    <x v="2"/>
  </r>
  <r>
    <x v="112"/>
    <x v="1"/>
    <x v="1"/>
    <x v="1"/>
    <n v="246467"/>
    <x v="0"/>
    <s v="$9.98"/>
    <n v="9.98"/>
    <s v=""/>
    <n v="784"/>
    <d v="2022-09-06T00:00:00"/>
    <x v="1"/>
    <x v="2"/>
    <x v="53"/>
    <x v="0"/>
    <x v="0"/>
    <x v="2"/>
  </r>
  <r>
    <x v="113"/>
    <x v="94"/>
    <x v="5"/>
    <x v="5"/>
    <n v="119095"/>
    <x v="0"/>
    <s v="$9.95"/>
    <n v="9.9499999999999993"/>
    <s v=""/>
    <n v="592"/>
    <d v="2023-02-21T00:00:00"/>
    <x v="1"/>
    <x v="58"/>
    <x v="0"/>
    <x v="0"/>
    <x v="1"/>
    <x v="2"/>
  </r>
  <r>
    <x v="114"/>
    <x v="95"/>
    <x v="1"/>
    <x v="1"/>
    <n v="20638"/>
    <x v="1"/>
    <s v="$9.82"/>
    <n v="9.82"/>
    <s v="2 years and up"/>
    <n v="40"/>
    <d v="2012-06-14T00:00:00"/>
    <x v="0"/>
    <x v="59"/>
    <x v="54"/>
    <x v="0"/>
    <x v="0"/>
    <x v="2"/>
  </r>
  <r>
    <x v="115"/>
    <x v="94"/>
    <x v="6"/>
    <x v="6"/>
    <n v="232211"/>
    <x v="0"/>
    <s v="$9.77"/>
    <n v="9.77"/>
    <s v=""/>
    <n v="570"/>
    <d v="2022-01-12T00:00:00"/>
    <x v="1"/>
    <x v="60"/>
    <x v="0"/>
    <x v="0"/>
    <x v="1"/>
    <x v="2"/>
  </r>
  <r>
    <x v="116"/>
    <x v="91"/>
    <x v="5"/>
    <x v="5"/>
    <n v="108327"/>
    <x v="0"/>
    <s v="$9.74"/>
    <n v="9.74"/>
    <s v=""/>
    <n v="448"/>
    <d v="2022-09-27T00:00:00"/>
    <x v="19"/>
    <x v="61"/>
    <x v="0"/>
    <x v="0"/>
    <x v="1"/>
    <x v="2"/>
  </r>
  <r>
    <x v="117"/>
    <x v="70"/>
    <x v="5"/>
    <x v="5"/>
    <n v="348084"/>
    <x v="0"/>
    <s v="$9.74"/>
    <n v="9.74"/>
    <s v=""/>
    <n v="352"/>
    <d v="2023-07-11T00:00:00"/>
    <x v="11"/>
    <x v="2"/>
    <x v="0"/>
    <x v="54"/>
    <x v="1"/>
    <x v="2"/>
  </r>
  <r>
    <x v="118"/>
    <x v="70"/>
    <x v="6"/>
    <x v="6"/>
    <n v="653111"/>
    <x v="0"/>
    <s v="$9.69"/>
    <n v="9.69"/>
    <s v=""/>
    <n v="336"/>
    <d v="2022-08-23T00:00:00"/>
    <x v="11"/>
    <x v="62"/>
    <x v="55"/>
    <x v="55"/>
    <x v="1"/>
    <x v="2"/>
  </r>
  <r>
    <x v="119"/>
    <x v="96"/>
    <x v="0"/>
    <x v="0"/>
    <n v="3433"/>
    <x v="1"/>
    <s v="$9.65"/>
    <n v="9.65"/>
    <s v=""/>
    <n v="304"/>
    <d v="2025-03-18T00:00:00"/>
    <x v="13"/>
    <x v="2"/>
    <x v="0"/>
    <x v="56"/>
    <x v="0"/>
    <x v="2"/>
  </r>
  <r>
    <x v="120"/>
    <x v="97"/>
    <x v="2"/>
    <x v="2"/>
    <n v="22093"/>
    <x v="1"/>
    <s v="$9.64"/>
    <n v="9.64"/>
    <s v=""/>
    <n v="1040"/>
    <d v="2025-09-23T00:00:00"/>
    <x v="1"/>
    <x v="2"/>
    <x v="0"/>
    <x v="57"/>
    <x v="0"/>
    <x v="2"/>
  </r>
  <r>
    <x v="121"/>
    <x v="98"/>
    <x v="1"/>
    <x v="1"/>
    <n v="5807"/>
    <x v="0"/>
    <s v="$9.63"/>
    <n v="9.6300000000000008"/>
    <s v=""/>
    <n v="88"/>
    <d v="2024-05-24T00:00:00"/>
    <x v="16"/>
    <x v="2"/>
    <x v="56"/>
    <x v="58"/>
    <x v="0"/>
    <x v="2"/>
  </r>
  <r>
    <x v="122"/>
    <x v="99"/>
    <x v="3"/>
    <x v="3"/>
    <n v="6031"/>
    <x v="1"/>
    <s v="$9.59"/>
    <n v="9.59"/>
    <s v=""/>
    <n v="592"/>
    <d v="2025-10-14T00:00:00"/>
    <x v="13"/>
    <x v="2"/>
    <x v="0"/>
    <x v="59"/>
    <x v="1"/>
    <x v="2"/>
  </r>
  <r>
    <x v="123"/>
    <x v="70"/>
    <x v="4"/>
    <x v="4"/>
    <n v="243379"/>
    <x v="0"/>
    <s v="$9.53"/>
    <n v="9.5299999999999994"/>
    <s v=""/>
    <n v="400"/>
    <d v="2024-02-06T00:00:00"/>
    <x v="11"/>
    <x v="2"/>
    <x v="57"/>
    <x v="0"/>
    <x v="2"/>
    <x v="2"/>
  </r>
  <r>
    <x v="124"/>
    <x v="100"/>
    <x v="1"/>
    <x v="1"/>
    <n v="17396"/>
    <x v="1"/>
    <s v="$9.49"/>
    <n v="9.49"/>
    <s v="1 year and up"/>
    <n v="64"/>
    <d v="1959-08-12T00:00:00"/>
    <x v="0"/>
    <x v="2"/>
    <x v="58"/>
    <x v="60"/>
    <x v="0"/>
    <x v="2"/>
  </r>
  <r>
    <x v="125"/>
    <x v="101"/>
    <x v="0"/>
    <x v="0"/>
    <n v="32274"/>
    <x v="1"/>
    <s v="$9.45"/>
    <n v="9.4499999999999993"/>
    <s v="3 years and up"/>
    <n v="36"/>
    <d v="2015-08-25T00:00:00"/>
    <x v="0"/>
    <x v="63"/>
    <x v="59"/>
    <x v="61"/>
    <x v="0"/>
    <x v="2"/>
  </r>
  <r>
    <x v="126"/>
    <x v="102"/>
    <x v="1"/>
    <x v="1"/>
    <n v="30260"/>
    <x v="0"/>
    <s v="$9.43"/>
    <n v="9.43"/>
    <s v=""/>
    <n v="656"/>
    <d v="2016-05-31T00:00:00"/>
    <x v="2"/>
    <x v="64"/>
    <x v="60"/>
    <x v="62"/>
    <x v="0"/>
    <x v="2"/>
  </r>
  <r>
    <x v="127"/>
    <x v="103"/>
    <x v="2"/>
    <x v="2"/>
    <n v="2420"/>
    <x v="1"/>
    <s v="$9.42"/>
    <n v="9.42"/>
    <s v="8 years and up"/>
    <n v="224"/>
    <d v="2025-11-11T00:00:00"/>
    <x v="10"/>
    <x v="2"/>
    <x v="0"/>
    <x v="63"/>
    <x v="0"/>
    <x v="2"/>
  </r>
  <r>
    <x v="128"/>
    <x v="104"/>
    <x v="4"/>
    <x v="4"/>
    <n v="113454"/>
    <x v="0"/>
    <s v="$9.40"/>
    <n v="9.4"/>
    <s v=""/>
    <n v="448"/>
    <d v="2023-02-07T00:00:00"/>
    <x v="1"/>
    <x v="65"/>
    <x v="0"/>
    <x v="0"/>
    <x v="2"/>
    <x v="2"/>
  </r>
  <r>
    <x v="129"/>
    <x v="105"/>
    <x v="1"/>
    <x v="1"/>
    <n v="25279"/>
    <x v="1"/>
    <s v="$9.40"/>
    <n v="9.4"/>
    <s v="8 years and up"/>
    <n v="208"/>
    <d v="2018-10-16T00:00:00"/>
    <x v="12"/>
    <x v="66"/>
    <x v="61"/>
    <x v="64"/>
    <x v="0"/>
    <x v="2"/>
  </r>
  <r>
    <x v="130"/>
    <x v="106"/>
    <x v="5"/>
    <x v="5"/>
    <n v="95715"/>
    <x v="0"/>
    <s v="$9.33"/>
    <n v="9.33"/>
    <s v=""/>
    <n v="400"/>
    <d v="2020-02-04T00:00:00"/>
    <x v="1"/>
    <x v="67"/>
    <x v="0"/>
    <x v="0"/>
    <x v="1"/>
    <x v="2"/>
  </r>
  <r>
    <x v="131"/>
    <x v="107"/>
    <x v="3"/>
    <x v="3"/>
    <n v="36122"/>
    <x v="1"/>
    <s v="$9.33"/>
    <n v="9.33"/>
    <s v=""/>
    <n v="336"/>
    <d v="2024-12-24T00:00:00"/>
    <x v="5"/>
    <x v="2"/>
    <x v="62"/>
    <x v="65"/>
    <x v="1"/>
    <x v="2"/>
  </r>
  <r>
    <x v="132"/>
    <x v="108"/>
    <x v="6"/>
    <x v="6"/>
    <n v="86622"/>
    <x v="0"/>
    <s v="$9.25"/>
    <n v="9.25"/>
    <s v=""/>
    <n v="832"/>
    <d v="2016-01-26T00:00:00"/>
    <x v="1"/>
    <x v="68"/>
    <x v="0"/>
    <x v="0"/>
    <x v="1"/>
    <x v="2"/>
  </r>
  <r>
    <x v="133"/>
    <x v="109"/>
    <x v="3"/>
    <x v="3"/>
    <n v="58611"/>
    <x v="0"/>
    <s v="$9.05"/>
    <n v="9.0500000000000007"/>
    <s v="15 years and up"/>
    <n v="249"/>
    <d v="2012-01-10T00:00:00"/>
    <x v="6"/>
    <x v="2"/>
    <x v="63"/>
    <x v="66"/>
    <x v="1"/>
    <x v="2"/>
  </r>
  <r>
    <x v="134"/>
    <x v="73"/>
    <x v="2"/>
    <x v="2"/>
    <n v="405311"/>
    <x v="0"/>
    <s v="$9.03"/>
    <n v="9.0299999999999994"/>
    <s v=""/>
    <n v="384"/>
    <d v="2016-08-02T00:00:00"/>
    <x v="1"/>
    <x v="69"/>
    <x v="64"/>
    <x v="0"/>
    <x v="0"/>
    <x v="2"/>
  </r>
  <r>
    <x v="135"/>
    <x v="73"/>
    <x v="2"/>
    <x v="2"/>
    <n v="347742"/>
    <x v="0"/>
    <s v="$9.03"/>
    <n v="9.0299999999999994"/>
    <s v=""/>
    <n v="335"/>
    <d v="2022-01-18T00:00:00"/>
    <x v="1"/>
    <x v="70"/>
    <x v="0"/>
    <x v="0"/>
    <x v="0"/>
    <x v="2"/>
  </r>
  <r>
    <x v="136"/>
    <x v="73"/>
    <x v="3"/>
    <x v="3"/>
    <n v="165631"/>
    <x v="0"/>
    <s v="$8.91"/>
    <n v="8.91"/>
    <s v=""/>
    <n v="336"/>
    <d v="2014-08-05T00:00:00"/>
    <x v="1"/>
    <x v="71"/>
    <x v="0"/>
    <x v="0"/>
    <x v="1"/>
    <x v="2"/>
  </r>
  <r>
    <x v="137"/>
    <x v="110"/>
    <x v="1"/>
    <x v="1"/>
    <n v="3576"/>
    <x v="1"/>
    <s v="$8.91"/>
    <n v="8.91"/>
    <s v="2 years and up"/>
    <n v="32"/>
    <d v="2016-09-20T00:00:00"/>
    <x v="0"/>
    <x v="2"/>
    <x v="0"/>
    <x v="67"/>
    <x v="0"/>
    <x v="2"/>
  </r>
  <r>
    <x v="138"/>
    <x v="111"/>
    <x v="2"/>
    <x v="2"/>
    <n v="13431"/>
    <x v="0"/>
    <s v="$8.79"/>
    <n v="8.7899999999999991"/>
    <s v=""/>
    <n v="110"/>
    <d v="2019-05-27T00:00:00"/>
    <x v="16"/>
    <x v="2"/>
    <x v="65"/>
    <x v="0"/>
    <x v="0"/>
    <x v="2"/>
  </r>
  <r>
    <x v="139"/>
    <x v="112"/>
    <x v="2"/>
    <x v="2"/>
    <n v="2668"/>
    <x v="3"/>
    <s v="$8.77"/>
    <n v="8.77"/>
    <s v="1 year and up"/>
    <n v="32"/>
    <d v="2025-01-07T00:00:00"/>
    <x v="20"/>
    <x v="2"/>
    <x v="0"/>
    <x v="68"/>
    <x v="0"/>
    <x v="2"/>
  </r>
  <r>
    <x v="140"/>
    <x v="113"/>
    <x v="0"/>
    <x v="0"/>
    <n v="53602"/>
    <x v="1"/>
    <s v="$8.64"/>
    <n v="8.64"/>
    <s v="3 years and up"/>
    <n v="56"/>
    <d v="1990-01-22T00:00:00"/>
    <x v="0"/>
    <x v="72"/>
    <x v="66"/>
    <x v="0"/>
    <x v="0"/>
    <x v="2"/>
  </r>
  <r>
    <x v="141"/>
    <x v="103"/>
    <x v="1"/>
    <x v="1"/>
    <n v="10416"/>
    <x v="1"/>
    <s v="$8.38"/>
    <n v="8.3800000000000008"/>
    <s v="7 years and up"/>
    <n v="224"/>
    <d v="2024-03-19T00:00:00"/>
    <x v="10"/>
    <x v="2"/>
    <x v="67"/>
    <x v="0"/>
    <x v="0"/>
    <x v="2"/>
  </r>
  <r>
    <x v="142"/>
    <x v="114"/>
    <x v="1"/>
    <x v="1"/>
    <n v="29360"/>
    <x v="0"/>
    <s v="$8.24"/>
    <n v="8.24"/>
    <s v=""/>
    <n v="320"/>
    <d v="2007-12-15T00:00:00"/>
    <x v="13"/>
    <x v="73"/>
    <x v="0"/>
    <x v="0"/>
    <x v="0"/>
    <x v="2"/>
  </r>
  <r>
    <x v="143"/>
    <x v="115"/>
    <x v="1"/>
    <x v="1"/>
    <n v="18227"/>
    <x v="0"/>
    <s v="$8.18"/>
    <n v="8.18"/>
    <s v=""/>
    <n v="272"/>
    <d v="2003-05-06T00:00:00"/>
    <x v="6"/>
    <x v="74"/>
    <x v="0"/>
    <x v="0"/>
    <x v="0"/>
    <x v="2"/>
  </r>
  <r>
    <x v="144"/>
    <x v="6"/>
    <x v="3"/>
    <x v="3"/>
    <n v="283105"/>
    <x v="1"/>
    <s v="$8.03"/>
    <n v="8.0299999999999994"/>
    <s v=""/>
    <n v="566"/>
    <d v="2025-01-21T00:00:00"/>
    <x v="1"/>
    <x v="2"/>
    <x v="68"/>
    <x v="69"/>
    <x v="1"/>
    <x v="2"/>
  </r>
  <r>
    <x v="145"/>
    <x v="116"/>
    <x v="2"/>
    <x v="2"/>
    <n v="41584"/>
    <x v="0"/>
    <s v="$7.96"/>
    <n v="7.96"/>
    <s v=""/>
    <n v="32"/>
    <d v="2016-04-05T00:00:00"/>
    <x v="18"/>
    <x v="2"/>
    <x v="0"/>
    <x v="70"/>
    <x v="0"/>
    <x v="2"/>
  </r>
  <r>
    <x v="146"/>
    <x v="117"/>
    <x v="2"/>
    <x v="2"/>
    <n v="106198"/>
    <x v="0"/>
    <s v="$7.34"/>
    <n v="7.34"/>
    <s v=""/>
    <n v="336"/>
    <d v="2022-04-05T00:00:00"/>
    <x v="13"/>
    <x v="75"/>
    <x v="0"/>
    <x v="0"/>
    <x v="0"/>
    <x v="2"/>
  </r>
  <r>
    <x v="147"/>
    <x v="118"/>
    <x v="4"/>
    <x v="4"/>
    <n v="168512"/>
    <x v="0"/>
    <s v="$7.16"/>
    <n v="7.16"/>
    <s v=""/>
    <n v="336"/>
    <d v="2023-03-21T00:00:00"/>
    <x v="1"/>
    <x v="76"/>
    <x v="0"/>
    <x v="0"/>
    <x v="2"/>
    <x v="2"/>
  </r>
  <r>
    <x v="148"/>
    <x v="70"/>
    <x v="2"/>
    <x v="2"/>
    <n v="303204"/>
    <x v="0"/>
    <s v="$7.15"/>
    <n v="7.15"/>
    <s v=""/>
    <n v="304"/>
    <d v="2023-12-05T00:00:00"/>
    <x v="11"/>
    <x v="2"/>
    <x v="69"/>
    <x v="0"/>
    <x v="0"/>
    <x v="2"/>
  </r>
  <r>
    <x v="149"/>
    <x v="119"/>
    <x v="2"/>
    <x v="2"/>
    <n v="119661"/>
    <x v="0"/>
    <s v="$7.05"/>
    <n v="7.05"/>
    <s v=""/>
    <n v="160"/>
    <d v="1997-11-07T00:00:00"/>
    <x v="5"/>
    <x v="77"/>
    <x v="70"/>
    <x v="71"/>
    <x v="0"/>
    <x v="2"/>
  </r>
  <r>
    <x v="150"/>
    <x v="106"/>
    <x v="3"/>
    <x v="3"/>
    <n v="270507"/>
    <x v="0"/>
    <s v="$6.91"/>
    <n v="6.91"/>
    <s v=""/>
    <n v="400"/>
    <d v="2018-05-29T00:00:00"/>
    <x v="1"/>
    <x v="78"/>
    <x v="71"/>
    <x v="0"/>
    <x v="1"/>
    <x v="2"/>
  </r>
  <r>
    <x v="151"/>
    <x v="120"/>
    <x v="8"/>
    <x v="8"/>
    <n v="60754"/>
    <x v="0"/>
    <s v="$6.88"/>
    <n v="6.88"/>
    <s v=""/>
    <n v="400"/>
    <d v="2019-11-01T00:00:00"/>
    <x v="1"/>
    <x v="79"/>
    <x v="72"/>
    <x v="0"/>
    <x v="2"/>
    <x v="2"/>
  </r>
  <r>
    <x v="152"/>
    <x v="121"/>
    <x v="2"/>
    <x v="2"/>
    <n v="8907"/>
    <x v="0"/>
    <s v="$6.70"/>
    <n v="6.7"/>
    <s v="6 years and up"/>
    <n v="144"/>
    <d v="2021-03-09T00:00:00"/>
    <x v="16"/>
    <x v="2"/>
    <x v="73"/>
    <x v="0"/>
    <x v="0"/>
    <x v="2"/>
  </r>
  <r>
    <x v="153"/>
    <x v="121"/>
    <x v="2"/>
    <x v="2"/>
    <n v="8896"/>
    <x v="0"/>
    <s v="$6.70"/>
    <n v="6.7"/>
    <s v="6 years and up"/>
    <n v="144"/>
    <d v="2021-03-09T00:00:00"/>
    <x v="16"/>
    <x v="2"/>
    <x v="0"/>
    <x v="72"/>
    <x v="0"/>
    <x v="2"/>
  </r>
  <r>
    <x v="154"/>
    <x v="122"/>
    <x v="3"/>
    <x v="3"/>
    <n v="92537"/>
    <x v="0"/>
    <s v="$6.49"/>
    <n v="6.49"/>
    <s v="14 years and up"/>
    <n v="140"/>
    <d v="2004-04-06T00:00:00"/>
    <x v="6"/>
    <x v="2"/>
    <x v="0"/>
    <x v="73"/>
    <x v="1"/>
    <x v="2"/>
  </r>
  <r>
    <x v="155"/>
    <x v="123"/>
    <x v="2"/>
    <x v="2"/>
    <n v="6749"/>
    <x v="4"/>
    <s v="$6.42"/>
    <n v="6.42"/>
    <s v="7 years and up"/>
    <n v="64"/>
    <d v="2020-11-29T00:00:00"/>
    <x v="16"/>
    <x v="2"/>
    <x v="0"/>
    <x v="74"/>
    <x v="0"/>
    <x v="2"/>
  </r>
  <r>
    <x v="156"/>
    <x v="120"/>
    <x v="4"/>
    <x v="4"/>
    <n v="14292"/>
    <x v="0"/>
    <s v="$6.34"/>
    <n v="6.34"/>
    <s v="15 years and up"/>
    <n v="416"/>
    <d v="2024-02-06T00:00:00"/>
    <x v="1"/>
    <x v="2"/>
    <x v="74"/>
    <x v="0"/>
    <x v="2"/>
    <x v="2"/>
  </r>
  <r>
    <x v="157"/>
    <x v="122"/>
    <x v="3"/>
    <x v="3"/>
    <n v="122245"/>
    <x v="0"/>
    <s v="$5.99"/>
    <n v="5.99"/>
    <s v="16 years and up"/>
    <n v="328"/>
    <d v="1961-01-01T00:00:00"/>
    <x v="6"/>
    <x v="2"/>
    <x v="75"/>
    <x v="75"/>
    <x v="1"/>
    <x v="2"/>
  </r>
  <r>
    <x v="158"/>
    <x v="124"/>
    <x v="1"/>
    <x v="1"/>
    <n v="37369"/>
    <x v="1"/>
    <s v="$5.96"/>
    <n v="5.96"/>
    <s v="3 years and up"/>
    <n v="40"/>
    <d v="2019-03-05T00:00:00"/>
    <x v="0"/>
    <x v="80"/>
    <x v="0"/>
    <x v="0"/>
    <x v="0"/>
    <x v="2"/>
  </r>
  <r>
    <x v="159"/>
    <x v="125"/>
    <x v="0"/>
    <x v="0"/>
    <n v="78436"/>
    <x v="3"/>
    <s v="$5.75"/>
    <n v="5.75"/>
    <s v="1 year and up"/>
    <n v="26"/>
    <d v="1994-03-23T00:00:00"/>
    <x v="0"/>
    <x v="81"/>
    <x v="76"/>
    <x v="76"/>
    <x v="0"/>
    <x v="2"/>
  </r>
  <r>
    <x v="160"/>
    <x v="126"/>
    <x v="0"/>
    <x v="0"/>
    <n v="19727"/>
    <x v="1"/>
    <s v="$5.72"/>
    <n v="5.72"/>
    <s v="baby and up"/>
    <n v="32"/>
    <d v="2019-05-07T00:00:00"/>
    <x v="0"/>
    <x v="2"/>
    <x v="0"/>
    <x v="77"/>
    <x v="0"/>
    <x v="2"/>
  </r>
  <r>
    <x v="161"/>
    <x v="124"/>
    <x v="1"/>
    <x v="1"/>
    <n v="34994"/>
    <x v="1"/>
    <s v="$5.71"/>
    <n v="5.71"/>
    <s v="3 years and up"/>
    <n v="40"/>
    <d v="2018-07-17T00:00:00"/>
    <x v="0"/>
    <x v="82"/>
    <x v="0"/>
    <x v="0"/>
    <x v="0"/>
    <x v="2"/>
  </r>
  <r>
    <x v="162"/>
    <x v="103"/>
    <x v="1"/>
    <x v="1"/>
    <n v="7549"/>
    <x v="1"/>
    <s v="$5.64"/>
    <n v="5.64"/>
    <s v="7 years and up"/>
    <n v="224"/>
    <d v="2024-12-03T00:00:00"/>
    <x v="10"/>
    <x v="2"/>
    <x v="0"/>
    <x v="78"/>
    <x v="0"/>
    <x v="2"/>
  </r>
  <r>
    <x v="163"/>
    <x v="124"/>
    <x v="1"/>
    <x v="1"/>
    <n v="18031"/>
    <x v="1"/>
    <s v="$5.60"/>
    <n v="5.6"/>
    <s v="3 years and up"/>
    <n v="40"/>
    <d v="2019-09-03T00:00:00"/>
    <x v="0"/>
    <x v="83"/>
    <x v="0"/>
    <x v="0"/>
    <x v="0"/>
    <x v="2"/>
  </r>
  <r>
    <x v="164"/>
    <x v="103"/>
    <x v="1"/>
    <x v="1"/>
    <n v="11089"/>
    <x v="1"/>
    <s v="$5.48"/>
    <n v="5.48"/>
    <s v="7 years and up"/>
    <n v="240"/>
    <d v="2023-03-28T00:00:00"/>
    <x v="10"/>
    <x v="84"/>
    <x v="77"/>
    <x v="0"/>
    <x v="0"/>
    <x v="2"/>
  </r>
  <r>
    <x v="165"/>
    <x v="127"/>
    <x v="2"/>
    <x v="2"/>
    <n v="25729"/>
    <x v="0"/>
    <s v="$5.44"/>
    <n v="5.44"/>
    <s v="6 years and up"/>
    <n v="160"/>
    <d v="2019-08-27T00:00:00"/>
    <x v="0"/>
    <x v="2"/>
    <x v="78"/>
    <x v="79"/>
    <x v="0"/>
    <x v="2"/>
  </r>
  <r>
    <x v="166"/>
    <x v="128"/>
    <x v="0"/>
    <x v="0"/>
    <n v="14622"/>
    <x v="3"/>
    <s v="$5.37"/>
    <n v="5.37"/>
    <s v="baby and up"/>
    <n v="24"/>
    <d v="2020-01-07T00:00:00"/>
    <x v="0"/>
    <x v="85"/>
    <x v="79"/>
    <x v="80"/>
    <x v="0"/>
    <x v="2"/>
  </r>
  <r>
    <x v="167"/>
    <x v="129"/>
    <x v="1"/>
    <x v="1"/>
    <n v="89173"/>
    <x v="0"/>
    <s v="$5.26"/>
    <n v="5.26"/>
    <s v="3 years and up"/>
    <n v="84"/>
    <d v="2019-08-27T00:00:00"/>
    <x v="0"/>
    <x v="86"/>
    <x v="80"/>
    <x v="81"/>
    <x v="0"/>
    <x v="2"/>
  </r>
  <r>
    <x v="168"/>
    <x v="130"/>
    <x v="1"/>
    <x v="1"/>
    <n v="10381"/>
    <x v="3"/>
    <s v="$5.18"/>
    <n v="5.18"/>
    <s v="1 year and up"/>
    <n v="18"/>
    <d v="2018-10-02T00:00:00"/>
    <x v="0"/>
    <x v="2"/>
    <x v="81"/>
    <x v="0"/>
    <x v="0"/>
    <x v="2"/>
  </r>
  <r>
    <x v="169"/>
    <x v="131"/>
    <x v="3"/>
    <x v="3"/>
    <n v="123058"/>
    <x v="0"/>
    <s v="$5.03"/>
    <n v="5.03"/>
    <s v=""/>
    <n v="208"/>
    <d v="2014-04-15T00:00:00"/>
    <x v="8"/>
    <x v="87"/>
    <x v="0"/>
    <x v="82"/>
    <x v="1"/>
    <x v="2"/>
  </r>
  <r>
    <x v="170"/>
    <x v="132"/>
    <x v="5"/>
    <x v="5"/>
    <n v="158268"/>
    <x v="0"/>
    <s v="$4.99"/>
    <n v="4.99"/>
    <s v=""/>
    <n v="448"/>
    <d v="2023-11-07T00:00:00"/>
    <x v="1"/>
    <x v="2"/>
    <x v="82"/>
    <x v="83"/>
    <x v="1"/>
    <x v="2"/>
  </r>
  <r>
    <x v="171"/>
    <x v="70"/>
    <x v="8"/>
    <x v="8"/>
    <n v="162653"/>
    <x v="0"/>
    <s v="$4.99"/>
    <n v="4.99"/>
    <s v=""/>
    <n v="384"/>
    <d v="2025-01-28T00:00:00"/>
    <x v="11"/>
    <x v="2"/>
    <x v="0"/>
    <x v="84"/>
    <x v="2"/>
    <x v="2"/>
  </r>
  <r>
    <x v="172"/>
    <x v="133"/>
    <x v="0"/>
    <x v="0"/>
    <n v="67104"/>
    <x v="0"/>
    <s v="$4.98"/>
    <n v="4.9800000000000004"/>
    <s v="baby and up"/>
    <n v="32"/>
    <d v="1995-09-01T00:00:00"/>
    <x v="0"/>
    <x v="88"/>
    <x v="0"/>
    <x v="0"/>
    <x v="0"/>
    <x v="2"/>
  </r>
  <r>
    <x v="173"/>
    <x v="134"/>
    <x v="0"/>
    <x v="0"/>
    <n v="55794"/>
    <x v="3"/>
    <s v="$4.82"/>
    <n v="4.82"/>
    <s v="1 year and up"/>
    <n v="24"/>
    <d v="1996-09-15T00:00:00"/>
    <x v="0"/>
    <x v="89"/>
    <x v="83"/>
    <x v="85"/>
    <x v="0"/>
    <x v="2"/>
  </r>
  <r>
    <x v="174"/>
    <x v="135"/>
    <x v="1"/>
    <x v="1"/>
    <n v="8150"/>
    <x v="3"/>
    <s v="$4.70"/>
    <n v="4.7"/>
    <s v="3 years and up"/>
    <n v="12"/>
    <d v="1999-01-27T00:00:00"/>
    <x v="0"/>
    <x v="2"/>
    <x v="84"/>
    <x v="86"/>
    <x v="0"/>
    <x v="2"/>
  </r>
  <r>
    <x v="175"/>
    <x v="136"/>
    <x v="1"/>
    <x v="1"/>
    <n v="35944"/>
    <x v="3"/>
    <s v="$4.50"/>
    <n v="4.5"/>
    <s v="1 year and up"/>
    <n v="22"/>
    <d v="2003-06-30T00:00:00"/>
    <x v="0"/>
    <x v="2"/>
    <x v="0"/>
    <x v="87"/>
    <x v="0"/>
    <x v="2"/>
  </r>
  <r>
    <x v="176"/>
    <x v="70"/>
    <x v="8"/>
    <x v="8"/>
    <n v="174300"/>
    <x v="0"/>
    <s v="$4.47"/>
    <n v="4.47"/>
    <s v=""/>
    <n v="368"/>
    <d v="2025-05-06T00:00:00"/>
    <x v="11"/>
    <x v="2"/>
    <x v="0"/>
    <x v="88"/>
    <x v="2"/>
    <x v="2"/>
  </r>
  <r>
    <x v="177"/>
    <x v="137"/>
    <x v="0"/>
    <x v="0"/>
    <n v="9344"/>
    <x v="1"/>
    <s v="$4.35"/>
    <n v="4.3499999999999996"/>
    <s v="5 years and up"/>
    <n v="24"/>
    <d v="2023-05-02T00:00:00"/>
    <x v="16"/>
    <x v="90"/>
    <x v="85"/>
    <x v="0"/>
    <x v="0"/>
    <x v="2"/>
  </r>
  <r>
    <x v="178"/>
    <x v="138"/>
    <x v="1"/>
    <x v="1"/>
    <n v="75734"/>
    <x v="3"/>
    <s v="$4.23"/>
    <n v="4.2300000000000004"/>
    <s v="baby and up"/>
    <n v="34"/>
    <d v="2014-06-03T00:00:00"/>
    <x v="0"/>
    <x v="91"/>
    <x v="0"/>
    <x v="0"/>
    <x v="0"/>
    <x v="2"/>
  </r>
  <r>
    <x v="179"/>
    <x v="139"/>
    <x v="0"/>
    <x v="0"/>
    <n v="41314"/>
    <x v="3"/>
    <s v="$4.17"/>
    <n v="4.17"/>
    <s v="1 year and up"/>
    <n v="36"/>
    <d v="2012-01-01T00:00:00"/>
    <x v="0"/>
    <x v="92"/>
    <x v="86"/>
    <x v="89"/>
    <x v="0"/>
    <x v="2"/>
  </r>
  <r>
    <x v="180"/>
    <x v="140"/>
    <x v="3"/>
    <x v="3"/>
    <n v="12949"/>
    <x v="0"/>
    <s v="$3.99"/>
    <n v="3.99"/>
    <s v="5 years and up"/>
    <n v="128"/>
    <d v="2016-02-02T00:00:00"/>
    <x v="0"/>
    <x v="2"/>
    <x v="0"/>
    <x v="90"/>
    <x v="1"/>
    <x v="2"/>
  </r>
  <r>
    <x v="181"/>
    <x v="141"/>
    <x v="0"/>
    <x v="0"/>
    <n v="80263"/>
    <x v="3"/>
    <s v="$3.97"/>
    <n v="3.97"/>
    <s v="baby and up"/>
    <n v="28"/>
    <d v="2015-03-03T00:00:00"/>
    <x v="0"/>
    <x v="93"/>
    <x v="87"/>
    <x v="0"/>
    <x v="0"/>
    <x v="2"/>
  </r>
  <r>
    <x v="182"/>
    <x v="142"/>
    <x v="1"/>
    <x v="1"/>
    <n v="19562"/>
    <x v="3"/>
    <s v="$3.86"/>
    <n v="3.86"/>
    <s v="1 year and up"/>
    <n v="16"/>
    <d v="1982-11-30T00:00:00"/>
    <x v="0"/>
    <x v="2"/>
    <x v="0"/>
    <x v="91"/>
    <x v="0"/>
    <x v="2"/>
  </r>
  <r>
    <x v="183"/>
    <x v="143"/>
    <x v="1"/>
    <x v="1"/>
    <n v="32845"/>
    <x v="5"/>
    <s v="$3.07"/>
    <n v="3.07"/>
    <s v="4 years and up"/>
    <m/>
    <d v="2018-03-01T00:00:00"/>
    <x v="20"/>
    <x v="94"/>
    <x v="88"/>
    <x v="92"/>
    <x v="0"/>
    <x v="2"/>
  </r>
  <r>
    <x v="184"/>
    <x v="144"/>
    <x v="4"/>
    <x v="4"/>
    <n v="100479"/>
    <x v="1"/>
    <s v="$3.00"/>
    <n v="3"/>
    <s v=""/>
    <n v="352"/>
    <d v="2024-01-02T00:00:00"/>
    <x v="11"/>
    <x v="2"/>
    <x v="89"/>
    <x v="0"/>
    <x v="2"/>
    <x v="2"/>
  </r>
  <r>
    <x v="185"/>
    <x v="145"/>
    <x v="1"/>
    <x v="1"/>
    <n v="9137"/>
    <x v="0"/>
    <s v="$2.70"/>
    <n v="2.7"/>
    <s v="2 years and up"/>
    <n v="32"/>
    <d v="2022-01-25T00:00:00"/>
    <x v="16"/>
    <x v="95"/>
    <x v="90"/>
    <x v="93"/>
    <x v="0"/>
    <x v="2"/>
  </r>
  <r>
    <x v="186"/>
    <x v="146"/>
    <x v="2"/>
    <x v="2"/>
    <n v="30755"/>
    <x v="0"/>
    <s v="$2.70"/>
    <n v="2.7"/>
    <s v=""/>
    <n v="208"/>
    <d v="2020-02-11T00:00:00"/>
    <x v="4"/>
    <x v="2"/>
    <x v="91"/>
    <x v="94"/>
    <x v="0"/>
    <x v="2"/>
  </r>
  <r>
    <x v="187"/>
    <x v="147"/>
    <x v="3"/>
    <x v="3"/>
    <n v="145297"/>
    <x v="0"/>
    <s v="$2.70"/>
    <n v="2.7"/>
    <s v=""/>
    <n v="432"/>
    <d v="2024-04-02T00:00:00"/>
    <x v="1"/>
    <x v="2"/>
    <x v="92"/>
    <x v="0"/>
    <x v="1"/>
    <x v="2"/>
  </r>
  <r>
    <x v="188"/>
    <x v="81"/>
    <x v="2"/>
    <x v="2"/>
    <n v="5812"/>
    <x v="1"/>
    <s v="$2.69"/>
    <n v="2.69"/>
    <s v="9 years and up"/>
    <n v="224"/>
    <d v="2024-10-22T00:00:00"/>
    <x v="0"/>
    <x v="2"/>
    <x v="93"/>
    <x v="0"/>
    <x v="0"/>
    <x v="2"/>
  </r>
  <r>
    <x v="189"/>
    <x v="145"/>
    <x v="1"/>
    <x v="1"/>
    <n v="7381"/>
    <x v="0"/>
    <s v="$2.65"/>
    <n v="2.65"/>
    <s v="2 years and up"/>
    <n v="64"/>
    <d v="2021-02-23T00:00:00"/>
    <x v="16"/>
    <x v="2"/>
    <x v="94"/>
    <x v="0"/>
    <x v="0"/>
    <x v="2"/>
  </r>
  <r>
    <x v="190"/>
    <x v="148"/>
    <x v="5"/>
    <x v="5"/>
    <n v="398561"/>
    <x v="0"/>
    <s v="$2.39"/>
    <n v="2.39"/>
    <s v=""/>
    <n v="368"/>
    <d v="2021-05-04T00:00:00"/>
    <x v="11"/>
    <x v="96"/>
    <x v="95"/>
    <x v="0"/>
    <x v="1"/>
    <x v="2"/>
  </r>
  <r>
    <x v="191"/>
    <x v="81"/>
    <x v="2"/>
    <x v="2"/>
    <n v="13081"/>
    <x v="1"/>
    <s v="$2.03"/>
    <n v="2.0299999999999998"/>
    <s v="8 years and up"/>
    <n v="224"/>
    <d v="2023-10-24T00:00:00"/>
    <x v="0"/>
    <x v="97"/>
    <x v="0"/>
    <x v="0"/>
    <x v="0"/>
    <x v="2"/>
  </r>
  <r>
    <x v="192"/>
    <x v="149"/>
    <x v="0"/>
    <x v="0"/>
    <n v="31124"/>
    <x v="3"/>
    <s v="$1.89"/>
    <n v="1.89"/>
    <s v="baby and up"/>
    <n v="34"/>
    <d v="1991-08-02T00:00:00"/>
    <x v="16"/>
    <x v="98"/>
    <x v="0"/>
    <x v="95"/>
    <x v="0"/>
    <x v="2"/>
  </r>
  <r>
    <x v="193"/>
    <x v="150"/>
    <x v="1"/>
    <x v="1"/>
    <n v="91554"/>
    <x v="0"/>
    <s v="$1.89"/>
    <n v="1.89"/>
    <s v=""/>
    <n v="224"/>
    <d v="2024-06-01T00:00:00"/>
    <x v="5"/>
    <x v="99"/>
    <x v="0"/>
    <x v="0"/>
    <x v="0"/>
    <x v="2"/>
  </r>
  <r>
    <x v="194"/>
    <x v="73"/>
    <x v="6"/>
    <x v="6"/>
    <n v="228242"/>
    <x v="0"/>
    <s v="$1.88"/>
    <n v="1.88"/>
    <s v=""/>
    <n v="336"/>
    <d v="2022-10-18T00:00:00"/>
    <x v="1"/>
    <x v="100"/>
    <x v="96"/>
    <x v="0"/>
    <x v="1"/>
    <x v="2"/>
  </r>
  <r>
    <x v="195"/>
    <x v="151"/>
    <x v="0"/>
    <x v="0"/>
    <n v="7914"/>
    <x v="3"/>
    <s v="$1.00"/>
    <n v="1"/>
    <s v=""/>
    <n v="20"/>
    <d v="2016-09-13T00:00:00"/>
    <x v="0"/>
    <x v="2"/>
    <x v="97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82707-D259-4135-94A9-DC4A5BF5D824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" colHeaderCaption="Pricing Category">
  <location ref="A339:E362" firstHeaderRow="1" firstDataRow="2" firstDataCol="1"/>
  <pivotFields count="18">
    <pivotField showAll="0">
      <items count="197">
        <item x="40"/>
        <item x="122"/>
        <item x="157"/>
        <item x="168"/>
        <item x="7"/>
        <item x="76"/>
        <item x="80"/>
        <item x="112"/>
        <item x="75"/>
        <item x="1"/>
        <item x="73"/>
        <item x="132"/>
        <item x="3"/>
        <item x="24"/>
        <item x="99"/>
        <item x="120"/>
        <item x="36"/>
        <item x="101"/>
        <item x="46"/>
        <item x="154"/>
        <item x="21"/>
        <item x="33"/>
        <item x="61"/>
        <item x="189"/>
        <item x="51"/>
        <item x="22"/>
        <item x="38"/>
        <item x="173"/>
        <item x="9"/>
        <item x="179"/>
        <item x="107"/>
        <item x="138"/>
        <item x="130"/>
        <item x="28"/>
        <item x="110"/>
        <item x="162"/>
        <item x="127"/>
        <item x="141"/>
        <item x="164"/>
        <item x="78"/>
        <item x="114"/>
        <item x="18"/>
        <item x="133"/>
        <item x="74"/>
        <item x="184"/>
        <item x="2"/>
        <item x="62"/>
        <item x="6"/>
        <item x="94"/>
        <item x="82"/>
        <item x="121"/>
        <item x="111"/>
        <item x="44"/>
        <item x="192"/>
        <item x="124"/>
        <item x="79"/>
        <item x="0"/>
        <item x="27"/>
        <item x="58"/>
        <item x="195"/>
        <item x="63"/>
        <item x="56"/>
        <item x="8"/>
        <item x="188"/>
        <item x="163"/>
        <item x="161"/>
        <item x="158"/>
        <item x="93"/>
        <item x="14"/>
        <item x="37"/>
        <item x="166"/>
        <item x="181"/>
        <item x="103"/>
        <item x="128"/>
        <item x="178"/>
        <item x="151"/>
        <item x="156"/>
        <item x="30"/>
        <item x="98"/>
        <item x="90"/>
        <item x="134"/>
        <item x="194"/>
        <item x="32"/>
        <item x="187"/>
        <item x="104"/>
        <item x="155"/>
        <item x="59"/>
        <item x="106"/>
        <item x="180"/>
        <item x="172"/>
        <item x="43"/>
        <item x="71"/>
        <item x="143"/>
        <item x="29"/>
        <item x="88"/>
        <item x="72"/>
        <item x="167"/>
        <item x="42"/>
        <item x="70"/>
        <item x="148"/>
        <item x="191"/>
        <item x="35"/>
        <item x="45"/>
        <item x="140"/>
        <item x="144"/>
        <item x="23"/>
        <item x="91"/>
        <item x="139"/>
        <item x="57"/>
        <item x="47"/>
        <item x="135"/>
        <item x="146"/>
        <item x="183"/>
        <item x="137"/>
        <item x="83"/>
        <item x="109"/>
        <item x="100"/>
        <item x="5"/>
        <item x="108"/>
        <item x="65"/>
        <item x="177"/>
        <item x="55"/>
        <item x="193"/>
        <item x="11"/>
        <item x="169"/>
        <item x="53"/>
        <item x="95"/>
        <item x="92"/>
        <item x="186"/>
        <item x="165"/>
        <item x="49"/>
        <item x="52"/>
        <item x="102"/>
        <item x="26"/>
        <item x="129"/>
        <item x="10"/>
        <item x="25"/>
        <item x="171"/>
        <item x="31"/>
        <item x="66"/>
        <item x="34"/>
        <item x="69"/>
        <item x="149"/>
        <item x="86"/>
        <item x="39"/>
        <item x="182"/>
        <item x="97"/>
        <item x="152"/>
        <item x="153"/>
        <item x="41"/>
        <item x="118"/>
        <item x="77"/>
        <item x="117"/>
        <item x="147"/>
        <item x="16"/>
        <item x="131"/>
        <item x="4"/>
        <item x="170"/>
        <item x="19"/>
        <item x="119"/>
        <item x="64"/>
        <item x="50"/>
        <item x="174"/>
        <item x="145"/>
        <item x="54"/>
        <item x="150"/>
        <item x="12"/>
        <item x="13"/>
        <item x="190"/>
        <item x="67"/>
        <item x="123"/>
        <item x="176"/>
        <item x="159"/>
        <item x="48"/>
        <item x="20"/>
        <item x="60"/>
        <item x="89"/>
        <item x="15"/>
        <item x="125"/>
        <item x="113"/>
        <item x="115"/>
        <item x="142"/>
        <item x="96"/>
        <item x="68"/>
        <item x="116"/>
        <item x="105"/>
        <item x="136"/>
        <item x="81"/>
        <item x="126"/>
        <item x="185"/>
        <item x="175"/>
        <item x="160"/>
        <item x="17"/>
        <item x="84"/>
        <item x="85"/>
        <item x="87"/>
        <item t="default"/>
      </items>
    </pivotField>
    <pivotField showAll="0"/>
    <pivotField showAll="0">
      <items count="10">
        <item x="7"/>
        <item x="8"/>
        <item x="4"/>
        <item x="5"/>
        <item x="6"/>
        <item x="3"/>
        <item x="2"/>
        <item x="1"/>
        <item x="0"/>
        <item t="default"/>
      </items>
    </pivotField>
    <pivotField showAll="0">
      <items count="10">
        <item x="7"/>
        <item x="8"/>
        <item x="4"/>
        <item x="5"/>
        <item x="6"/>
        <item x="3"/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4" showAll="0"/>
    <pivotField axis="axisRow" showAll="0" sortType="descending">
      <items count="22">
        <item x="16"/>
        <item x="4"/>
        <item x="8"/>
        <item x="13"/>
        <item x="10"/>
        <item x="7"/>
        <item x="12"/>
        <item x="3"/>
        <item x="1"/>
        <item x="17"/>
        <item x="2"/>
        <item x="9"/>
        <item x="18"/>
        <item x="11"/>
        <item x="14"/>
        <item x="6"/>
        <item x="15"/>
        <item x="0"/>
        <item x="19"/>
        <item x="2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2">
        <item x="10"/>
        <item x="48"/>
        <item x="45"/>
        <item x="31"/>
        <item x="47"/>
        <item x="30"/>
        <item x="27"/>
        <item x="25"/>
        <item x="100"/>
        <item x="11"/>
        <item x="69"/>
        <item x="62"/>
        <item x="81"/>
        <item x="56"/>
        <item x="43"/>
        <item x="78"/>
        <item x="16"/>
        <item x="90"/>
        <item x="77"/>
        <item x="15"/>
        <item x="39"/>
        <item x="51"/>
        <item x="97"/>
        <item x="93"/>
        <item x="84"/>
        <item x="60"/>
        <item x="12"/>
        <item x="89"/>
        <item x="17"/>
        <item x="85"/>
        <item x="49"/>
        <item x="75"/>
        <item x="24"/>
        <item x="72"/>
        <item x="20"/>
        <item x="79"/>
        <item x="98"/>
        <item x="35"/>
        <item x="46"/>
        <item x="63"/>
        <item x="3"/>
        <item x="96"/>
        <item x="23"/>
        <item x="26"/>
        <item x="6"/>
        <item x="21"/>
        <item x="95"/>
        <item x="57"/>
        <item x="65"/>
        <item x="58"/>
        <item x="70"/>
        <item x="42"/>
        <item x="8"/>
        <item x="9"/>
        <item x="55"/>
        <item x="14"/>
        <item x="83"/>
        <item x="71"/>
        <item x="91"/>
        <item x="41"/>
        <item x="61"/>
        <item x="92"/>
        <item x="29"/>
        <item x="33"/>
        <item x="68"/>
        <item x="74"/>
        <item x="28"/>
        <item x="19"/>
        <item x="94"/>
        <item x="73"/>
        <item x="67"/>
        <item x="1"/>
        <item x="18"/>
        <item x="66"/>
        <item x="13"/>
        <item x="4"/>
        <item x="5"/>
        <item x="36"/>
        <item x="59"/>
        <item x="32"/>
        <item x="0"/>
        <item x="52"/>
        <item x="53"/>
        <item x="37"/>
        <item x="34"/>
        <item x="22"/>
        <item x="38"/>
        <item x="7"/>
        <item x="87"/>
        <item x="88"/>
        <item x="80"/>
        <item x="54"/>
        <item x="50"/>
        <item x="64"/>
        <item x="76"/>
        <item x="44"/>
        <item x="99"/>
        <item x="86"/>
        <item x="82"/>
        <item x="40"/>
        <item x="2"/>
        <item t="default"/>
      </items>
    </pivotField>
    <pivotField showAll="0">
      <items count="99">
        <item x="5"/>
        <item x="68"/>
        <item x="8"/>
        <item x="29"/>
        <item x="41"/>
        <item x="65"/>
        <item x="25"/>
        <item x="64"/>
        <item x="20"/>
        <item x="26"/>
        <item x="33"/>
        <item x="42"/>
        <item x="67"/>
        <item x="55"/>
        <item x="28"/>
        <item x="11"/>
        <item x="22"/>
        <item x="96"/>
        <item x="43"/>
        <item x="93"/>
        <item x="30"/>
        <item x="35"/>
        <item x="48"/>
        <item x="23"/>
        <item x="87"/>
        <item x="1"/>
        <item x="77"/>
        <item x="70"/>
        <item x="49"/>
        <item x="40"/>
        <item x="37"/>
        <item x="80"/>
        <item x="50"/>
        <item x="36"/>
        <item x="83"/>
        <item x="19"/>
        <item x="24"/>
        <item x="91"/>
        <item x="38"/>
        <item x="66"/>
        <item x="13"/>
        <item x="79"/>
        <item x="32"/>
        <item x="21"/>
        <item x="76"/>
        <item x="86"/>
        <item x="51"/>
        <item x="46"/>
        <item x="7"/>
        <item x="69"/>
        <item x="9"/>
        <item x="88"/>
        <item x="78"/>
        <item x="14"/>
        <item x="52"/>
        <item x="34"/>
        <item x="3"/>
        <item x="2"/>
        <item x="90"/>
        <item x="53"/>
        <item x="89"/>
        <item x="16"/>
        <item x="61"/>
        <item x="57"/>
        <item x="92"/>
        <item x="56"/>
        <item x="15"/>
        <item x="62"/>
        <item x="59"/>
        <item x="31"/>
        <item x="97"/>
        <item x="71"/>
        <item x="81"/>
        <item x="39"/>
        <item x="60"/>
        <item x="27"/>
        <item x="58"/>
        <item x="72"/>
        <item x="84"/>
        <item x="6"/>
        <item x="74"/>
        <item x="63"/>
        <item x="75"/>
        <item x="17"/>
        <item x="10"/>
        <item x="73"/>
        <item x="94"/>
        <item x="12"/>
        <item x="85"/>
        <item x="4"/>
        <item x="54"/>
        <item x="47"/>
        <item x="45"/>
        <item x="95"/>
        <item x="44"/>
        <item x="82"/>
        <item x="18"/>
        <item x="0"/>
        <item t="default"/>
      </items>
    </pivotField>
    <pivotField showAll="0">
      <items count="97">
        <item x="65"/>
        <item x="33"/>
        <item x="2"/>
        <item x="47"/>
        <item x="55"/>
        <item x="11"/>
        <item x="41"/>
        <item x="81"/>
        <item x="45"/>
        <item x="50"/>
        <item x="51"/>
        <item x="42"/>
        <item x="21"/>
        <item x="32"/>
        <item x="23"/>
        <item x="76"/>
        <item x="69"/>
        <item x="26"/>
        <item x="48"/>
        <item x="49"/>
        <item x="24"/>
        <item x="63"/>
        <item x="79"/>
        <item x="27"/>
        <item x="53"/>
        <item x="38"/>
        <item x="54"/>
        <item x="80"/>
        <item x="86"/>
        <item x="7"/>
        <item x="15"/>
        <item x="43"/>
        <item x="44"/>
        <item x="85"/>
        <item x="36"/>
        <item x="66"/>
        <item x="29"/>
        <item x="94"/>
        <item x="92"/>
        <item x="6"/>
        <item x="8"/>
        <item x="4"/>
        <item x="18"/>
        <item x="71"/>
        <item x="30"/>
        <item x="74"/>
        <item x="70"/>
        <item x="10"/>
        <item x="89"/>
        <item x="28"/>
        <item x="20"/>
        <item x="72"/>
        <item x="68"/>
        <item x="75"/>
        <item x="88"/>
        <item x="37"/>
        <item x="16"/>
        <item x="87"/>
        <item x="13"/>
        <item x="73"/>
        <item x="91"/>
        <item x="40"/>
        <item x="46"/>
        <item x="17"/>
        <item x="83"/>
        <item x="52"/>
        <item x="84"/>
        <item x="78"/>
        <item x="62"/>
        <item x="9"/>
        <item x="35"/>
        <item x="31"/>
        <item x="61"/>
        <item x="59"/>
        <item x="12"/>
        <item x="3"/>
        <item x="95"/>
        <item x="39"/>
        <item x="60"/>
        <item x="77"/>
        <item x="1"/>
        <item x="34"/>
        <item x="19"/>
        <item x="82"/>
        <item x="90"/>
        <item x="67"/>
        <item x="22"/>
        <item x="14"/>
        <item x="25"/>
        <item x="93"/>
        <item x="58"/>
        <item x="57"/>
        <item x="56"/>
        <item x="5"/>
        <item x="64"/>
        <item x="0"/>
        <item t="default"/>
      </items>
    </pivotField>
    <pivotField dataField="1" showAll="0">
      <items count="4">
        <item x="0"/>
        <item x="2"/>
        <item x="1"/>
        <item t="default"/>
      </items>
    </pivotField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3">
        <item x="0"/>
        <item x="1"/>
        <item x="2"/>
      </items>
    </pivotField>
  </pivotFields>
  <rowFields count="1">
    <field x="11"/>
  </rowFields>
  <rowItems count="22">
    <i>
      <x v="8"/>
    </i>
    <i>
      <x v="17"/>
    </i>
    <i>
      <x/>
    </i>
    <i>
      <x v="13"/>
    </i>
    <i>
      <x v="2"/>
    </i>
    <i>
      <x v="10"/>
    </i>
    <i>
      <x v="15"/>
    </i>
    <i>
      <x v="20"/>
    </i>
    <i>
      <x v="3"/>
    </i>
    <i>
      <x v="1"/>
    </i>
    <i>
      <x v="4"/>
    </i>
    <i>
      <x v="6"/>
    </i>
    <i>
      <x v="11"/>
    </i>
    <i>
      <x v="12"/>
    </i>
    <i>
      <x v="7"/>
    </i>
    <i>
      <x v="19"/>
    </i>
    <i>
      <x v="14"/>
    </i>
    <i>
      <x v="16"/>
    </i>
    <i>
      <x v="5"/>
    </i>
    <i>
      <x v="18"/>
    </i>
    <i>
      <x v="9"/>
    </i>
    <i t="grand">
      <x/>
    </i>
  </rowItems>
  <colFields count="1">
    <field x="16"/>
  </colFields>
  <colItems count="4">
    <i>
      <x v="2"/>
    </i>
    <i>
      <x v="1"/>
    </i>
    <i>
      <x/>
    </i>
    <i t="grand">
      <x/>
    </i>
  </colItems>
  <dataFields count="1">
    <dataField name="Count of Rating_Category" fld="15" subtotal="count" baseField="0" baseItem="0"/>
  </dataFields>
  <formats count="13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6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11" type="button" dataOnly="0" labelOnly="1" outline="0" axis="axisRow" fieldPosition="0"/>
    </format>
    <format dxfId="12">
      <pivotArea dataOnly="0" labelOnly="1" fieldPosition="0">
        <references count="1">
          <reference field="11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16" count="0"/>
        </references>
      </pivotArea>
    </format>
    <format dxfId="9">
      <pivotArea dataOnly="0" labelOnly="1" grandCol="1" outline="0" fieldPosition="0"/>
    </format>
    <format dxfId="8">
      <pivotArea dataOnly="0" outline="0" fieldPosition="0">
        <references count="1">
          <reference field="16" count="1">
            <x v="2"/>
          </reference>
        </references>
      </pivotArea>
    </format>
    <format dxfId="7">
      <pivotArea dataOnly="0" outline="0" fieldPosition="0">
        <references count="1">
          <reference field="16" count="1">
            <x v="1"/>
          </reference>
        </references>
      </pivotArea>
    </format>
    <format dxfId="6">
      <pivotArea dataOnly="0" outline="0" fieldPosition="0">
        <references count="1">
          <reference field="1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F9453-C672-48B8-91E3-F614FB5765D6}" name="Author &amp; Genre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re">
  <location ref="A176:C323" firstHeaderRow="0" firstDataRow="1" firstDataCol="1"/>
  <pivotFields count="18">
    <pivotField dataField="1" showAll="0"/>
    <pivotField axis="axisRow" showAll="0">
      <items count="153">
        <item x="147"/>
        <item x="24"/>
        <item x="95"/>
        <item x="124"/>
        <item x="7"/>
        <item x="51"/>
        <item x="148"/>
        <item x="19"/>
        <item x="141"/>
        <item x="105"/>
        <item x="91"/>
        <item x="99"/>
        <item x="56"/>
        <item x="57"/>
        <item x="138"/>
        <item x="88"/>
        <item x="77"/>
        <item x="144"/>
        <item x="32"/>
        <item x="27"/>
        <item x="48"/>
        <item x="139"/>
        <item x="134"/>
        <item x="50"/>
        <item x="58"/>
        <item x="16"/>
        <item x="80"/>
        <item x="21"/>
        <item x="127"/>
        <item x="43"/>
        <item x="5"/>
        <item x="25"/>
        <item x="130"/>
        <item x="35"/>
        <item x="8"/>
        <item x="37"/>
        <item x="4"/>
        <item x="92"/>
        <item x="73"/>
        <item x="129"/>
        <item x="36"/>
        <item x="53"/>
        <item x="103"/>
        <item x="9"/>
        <item x="47"/>
        <item x="146"/>
        <item x="69"/>
        <item x="2"/>
        <item x="100"/>
        <item x="113"/>
        <item x="151"/>
        <item x="72"/>
        <item x="101"/>
        <item x="83"/>
        <item x="125"/>
        <item x="136"/>
        <item x="33"/>
        <item x="132"/>
        <item x="66"/>
        <item x="70"/>
        <item x="68"/>
        <item x="65"/>
        <item x="150"/>
        <item x="122"/>
        <item x="126"/>
        <item x="26"/>
        <item x="104"/>
        <item x="108"/>
        <item x="102"/>
        <item x="121"/>
        <item x="23"/>
        <item x="60"/>
        <item x="61"/>
        <item x="0"/>
        <item x="20"/>
        <item x="40"/>
        <item x="119"/>
        <item x="81"/>
        <item x="96"/>
        <item x="79"/>
        <item x="111"/>
        <item x="10"/>
        <item x="29"/>
        <item x="3"/>
        <item x="59"/>
        <item x="13"/>
        <item x="52"/>
        <item x="85"/>
        <item x="71"/>
        <item x="45"/>
        <item x="39"/>
        <item x="12"/>
        <item x="14"/>
        <item x="118"/>
        <item x="120"/>
        <item x="86"/>
        <item x="44"/>
        <item x="38"/>
        <item x="94"/>
        <item x="93"/>
        <item x="115"/>
        <item x="135"/>
        <item x="149"/>
        <item x="64"/>
        <item x="63"/>
        <item x="18"/>
        <item x="42"/>
        <item x="84"/>
        <item x="107"/>
        <item x="28"/>
        <item x="49"/>
        <item x="112"/>
        <item x="114"/>
        <item x="123"/>
        <item x="87"/>
        <item x="131"/>
        <item x="145"/>
        <item x="31"/>
        <item x="22"/>
        <item x="76"/>
        <item x="15"/>
        <item x="75"/>
        <item x="89"/>
        <item x="90"/>
        <item x="109"/>
        <item x="6"/>
        <item x="30"/>
        <item x="54"/>
        <item x="133"/>
        <item x="117"/>
        <item x="128"/>
        <item x="116"/>
        <item x="110"/>
        <item x="142"/>
        <item x="1"/>
        <item x="143"/>
        <item x="97"/>
        <item x="11"/>
        <item x="46"/>
        <item x="74"/>
        <item x="78"/>
        <item x="55"/>
        <item x="62"/>
        <item x="106"/>
        <item x="82"/>
        <item x="67"/>
        <item x="34"/>
        <item x="98"/>
        <item x="17"/>
        <item x="137"/>
        <item x="140"/>
        <item x="41"/>
        <item t="default"/>
      </items>
    </pivotField>
    <pivotField showAll="0"/>
    <pivotField showAll="0">
      <items count="10">
        <item x="7"/>
        <item x="8"/>
        <item x="4"/>
        <item x="5"/>
        <item x="6"/>
        <item x="3"/>
        <item x="2"/>
        <item x="1"/>
        <item x="0"/>
        <item t="default"/>
      </items>
    </pivotField>
    <pivotField dataField="1" showAll="0"/>
    <pivotField showAll="0"/>
    <pivotField showAll="0"/>
    <pivotField numFmtId="164" showAll="0"/>
    <pivotField showAll="0"/>
    <pivotField showAll="0"/>
    <pivotField numFmtId="14" showAll="0"/>
    <pivotField axis="axisRow" showAll="0" measureFilter="1" sortType="descending">
      <items count="22">
        <item x="16"/>
        <item x="4"/>
        <item x="8"/>
        <item x="13"/>
        <item x="10"/>
        <item x="7"/>
        <item x="12"/>
        <item x="3"/>
        <item x="1"/>
        <item x="17"/>
        <item x="2"/>
        <item x="9"/>
        <item x="18"/>
        <item x="11"/>
        <item x="14"/>
        <item x="6"/>
        <item x="15"/>
        <item x="0"/>
        <item x="19"/>
        <item x="20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</pivotFields>
  <rowFields count="2">
    <field x="11"/>
    <field x="1"/>
  </rowFields>
  <rowItems count="147">
    <i>
      <x v="8"/>
    </i>
    <i r="1">
      <x/>
    </i>
    <i r="1">
      <x v="1"/>
    </i>
    <i r="1">
      <x v="7"/>
    </i>
    <i r="1">
      <x v="10"/>
    </i>
    <i r="1">
      <x v="13"/>
    </i>
    <i r="1">
      <x v="15"/>
    </i>
    <i r="1">
      <x v="16"/>
    </i>
    <i r="1">
      <x v="19"/>
    </i>
    <i r="1">
      <x v="24"/>
    </i>
    <i r="1">
      <x v="25"/>
    </i>
    <i r="1">
      <x v="27"/>
    </i>
    <i r="1">
      <x v="35"/>
    </i>
    <i r="1">
      <x v="38"/>
    </i>
    <i r="1">
      <x v="51"/>
    </i>
    <i r="1">
      <x v="57"/>
    </i>
    <i r="1">
      <x v="58"/>
    </i>
    <i r="1">
      <x v="59"/>
    </i>
    <i r="1">
      <x v="61"/>
    </i>
    <i r="1">
      <x v="66"/>
    </i>
    <i r="1">
      <x v="67"/>
    </i>
    <i r="1">
      <x v="75"/>
    </i>
    <i r="1">
      <x v="81"/>
    </i>
    <i r="1">
      <x v="92"/>
    </i>
    <i r="1">
      <x v="93"/>
    </i>
    <i r="1">
      <x v="94"/>
    </i>
    <i r="1">
      <x v="97"/>
    </i>
    <i r="1">
      <x v="98"/>
    </i>
    <i r="1">
      <x v="125"/>
    </i>
    <i r="1">
      <x v="134"/>
    </i>
    <i r="1">
      <x v="136"/>
    </i>
    <i r="1">
      <x v="142"/>
    </i>
    <i r="1">
      <x v="143"/>
    </i>
    <i>
      <x v="13"/>
    </i>
    <i r="1">
      <x v="6"/>
    </i>
    <i r="1">
      <x v="12"/>
    </i>
    <i r="1">
      <x v="17"/>
    </i>
    <i r="1">
      <x v="33"/>
    </i>
    <i r="1">
      <x v="41"/>
    </i>
    <i r="1">
      <x v="59"/>
    </i>
    <i r="1">
      <x v="65"/>
    </i>
    <i r="1">
      <x v="84"/>
    </i>
    <i r="1">
      <x v="138"/>
    </i>
    <i r="1">
      <x v="141"/>
    </i>
    <i>
      <x v="17"/>
    </i>
    <i r="1">
      <x v="2"/>
    </i>
    <i r="1">
      <x v="3"/>
    </i>
    <i r="1">
      <x v="5"/>
    </i>
    <i r="1">
      <x v="8"/>
    </i>
    <i r="1">
      <x v="14"/>
    </i>
    <i r="1">
      <x v="21"/>
    </i>
    <i r="1">
      <x v="22"/>
    </i>
    <i r="1">
      <x v="23"/>
    </i>
    <i r="1">
      <x v="28"/>
    </i>
    <i r="1">
      <x v="32"/>
    </i>
    <i r="1">
      <x v="39"/>
    </i>
    <i r="1">
      <x v="48"/>
    </i>
    <i r="1">
      <x v="49"/>
    </i>
    <i r="1">
      <x v="50"/>
    </i>
    <i r="1">
      <x v="52"/>
    </i>
    <i r="1">
      <x v="54"/>
    </i>
    <i r="1">
      <x v="55"/>
    </i>
    <i r="1">
      <x v="64"/>
    </i>
    <i r="1">
      <x v="73"/>
    </i>
    <i r="1">
      <x v="77"/>
    </i>
    <i r="1">
      <x v="101"/>
    </i>
    <i r="1">
      <x v="106"/>
    </i>
    <i r="1">
      <x v="119"/>
    </i>
    <i r="1">
      <x v="128"/>
    </i>
    <i r="1">
      <x v="130"/>
    </i>
    <i r="1">
      <x v="132"/>
    </i>
    <i r="1">
      <x v="133"/>
    </i>
    <i r="1">
      <x v="150"/>
    </i>
    <i r="1">
      <x v="151"/>
    </i>
    <i>
      <x v="20"/>
    </i>
    <i r="1">
      <x v="40"/>
    </i>
    <i r="1">
      <x v="43"/>
    </i>
    <i r="1">
      <x v="62"/>
    </i>
    <i r="1">
      <x v="74"/>
    </i>
    <i r="1">
      <x v="76"/>
    </i>
    <i r="1">
      <x v="88"/>
    </i>
    <i r="1">
      <x v="91"/>
    </i>
    <i r="1">
      <x v="95"/>
    </i>
    <i r="1">
      <x v="103"/>
    </i>
    <i r="1">
      <x v="108"/>
    </i>
    <i>
      <x v="15"/>
    </i>
    <i r="1">
      <x v="44"/>
    </i>
    <i r="1">
      <x v="63"/>
    </i>
    <i r="1">
      <x v="85"/>
    </i>
    <i r="1">
      <x v="90"/>
    </i>
    <i r="1">
      <x v="100"/>
    </i>
    <i r="1">
      <x v="104"/>
    </i>
    <i r="1">
      <x v="117"/>
    </i>
    <i r="1">
      <x v="124"/>
    </i>
    <i r="1">
      <x v="127"/>
    </i>
    <i>
      <x v="2"/>
    </i>
    <i r="1">
      <x v="26"/>
    </i>
    <i r="1">
      <x v="44"/>
    </i>
    <i r="1">
      <x v="56"/>
    </i>
    <i r="1">
      <x v="71"/>
    </i>
    <i r="1">
      <x v="89"/>
    </i>
    <i r="1">
      <x v="96"/>
    </i>
    <i r="1">
      <x v="109"/>
    </i>
    <i r="1">
      <x v="115"/>
    </i>
    <i r="1">
      <x v="121"/>
    </i>
    <i r="1">
      <x v="146"/>
    </i>
    <i r="1">
      <x v="148"/>
    </i>
    <i>
      <x v="3"/>
    </i>
    <i r="1">
      <x v="11"/>
    </i>
    <i r="1">
      <x v="78"/>
    </i>
    <i r="1">
      <x v="110"/>
    </i>
    <i r="1">
      <x v="112"/>
    </i>
    <i r="1">
      <x v="114"/>
    </i>
    <i r="1">
      <x v="123"/>
    </i>
    <i r="1">
      <x v="129"/>
    </i>
    <i>
      <x v="10"/>
    </i>
    <i r="1">
      <x v="20"/>
    </i>
    <i r="1">
      <x v="29"/>
    </i>
    <i r="1">
      <x v="36"/>
    </i>
    <i r="1">
      <x v="46"/>
    </i>
    <i r="1">
      <x v="47"/>
    </i>
    <i r="1">
      <x v="68"/>
    </i>
    <i r="1">
      <x v="82"/>
    </i>
    <i r="1">
      <x v="91"/>
    </i>
    <i r="1">
      <x v="105"/>
    </i>
    <i r="1">
      <x v="118"/>
    </i>
    <i r="1">
      <x v="126"/>
    </i>
    <i>
      <x/>
    </i>
    <i r="1">
      <x v="37"/>
    </i>
    <i r="1">
      <x v="53"/>
    </i>
    <i r="1">
      <x v="69"/>
    </i>
    <i r="1">
      <x v="80"/>
    </i>
    <i r="1">
      <x v="99"/>
    </i>
    <i r="1">
      <x v="102"/>
    </i>
    <i r="1">
      <x v="113"/>
    </i>
    <i r="1">
      <x v="116"/>
    </i>
    <i r="1">
      <x v="140"/>
    </i>
    <i r="1">
      <x v="147"/>
    </i>
    <i r="1">
      <x v="149"/>
    </i>
    <i>
      <x v="1"/>
    </i>
    <i r="1">
      <x v="4"/>
    </i>
    <i r="1">
      <x v="30"/>
    </i>
    <i r="1">
      <x v="34"/>
    </i>
    <i r="1">
      <x v="45"/>
    </i>
    <i r="1">
      <x v="137"/>
    </i>
    <i r="1">
      <x v="14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ok name" fld="0" subtotal="count" baseField="0" baseItem="0"/>
    <dataField name="Sum of Reviews Count" fld="4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1" type="button" dataOnly="0" labelOnly="1" outline="0" axis="axisRow" fieldPosition="0"/>
    </format>
    <format dxfId="21">
      <pivotArea dataOnly="0" labelOnly="1" fieldPosition="0">
        <references count="1">
          <reference field="11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F36FC-4914-4558-B20C-FA3117A9BF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ting">
  <location ref="A159:D172" firstHeaderRow="0" firstDataRow="1" firstDataCol="1"/>
  <pivotFields count="18">
    <pivotField dataField="1" showAll="0">
      <items count="197">
        <item x="40"/>
        <item x="122"/>
        <item x="157"/>
        <item x="168"/>
        <item x="7"/>
        <item x="76"/>
        <item x="80"/>
        <item x="112"/>
        <item x="75"/>
        <item x="1"/>
        <item x="73"/>
        <item x="132"/>
        <item x="3"/>
        <item x="24"/>
        <item x="99"/>
        <item x="120"/>
        <item x="36"/>
        <item x="101"/>
        <item x="46"/>
        <item x="154"/>
        <item x="21"/>
        <item x="33"/>
        <item x="61"/>
        <item x="189"/>
        <item x="51"/>
        <item x="22"/>
        <item x="38"/>
        <item x="173"/>
        <item x="9"/>
        <item x="179"/>
        <item x="107"/>
        <item x="138"/>
        <item x="130"/>
        <item x="28"/>
        <item x="110"/>
        <item x="162"/>
        <item x="127"/>
        <item x="141"/>
        <item x="164"/>
        <item x="78"/>
        <item x="114"/>
        <item x="18"/>
        <item x="133"/>
        <item x="74"/>
        <item x="184"/>
        <item x="2"/>
        <item x="62"/>
        <item x="6"/>
        <item x="94"/>
        <item x="82"/>
        <item x="121"/>
        <item x="111"/>
        <item x="44"/>
        <item x="192"/>
        <item x="124"/>
        <item x="79"/>
        <item x="0"/>
        <item x="27"/>
        <item x="58"/>
        <item x="195"/>
        <item x="63"/>
        <item x="56"/>
        <item x="8"/>
        <item x="188"/>
        <item x="163"/>
        <item x="161"/>
        <item x="158"/>
        <item x="93"/>
        <item x="14"/>
        <item x="37"/>
        <item x="166"/>
        <item x="181"/>
        <item x="103"/>
        <item x="128"/>
        <item x="178"/>
        <item x="151"/>
        <item x="156"/>
        <item x="30"/>
        <item x="98"/>
        <item x="90"/>
        <item x="134"/>
        <item x="194"/>
        <item x="32"/>
        <item x="187"/>
        <item x="104"/>
        <item x="155"/>
        <item x="59"/>
        <item x="106"/>
        <item x="180"/>
        <item x="172"/>
        <item x="43"/>
        <item x="71"/>
        <item x="143"/>
        <item x="29"/>
        <item x="88"/>
        <item x="72"/>
        <item x="167"/>
        <item x="42"/>
        <item x="70"/>
        <item x="148"/>
        <item x="191"/>
        <item x="35"/>
        <item x="45"/>
        <item x="140"/>
        <item x="144"/>
        <item x="23"/>
        <item x="91"/>
        <item x="139"/>
        <item x="57"/>
        <item x="47"/>
        <item x="135"/>
        <item x="146"/>
        <item x="183"/>
        <item x="137"/>
        <item x="83"/>
        <item x="109"/>
        <item x="100"/>
        <item x="5"/>
        <item x="108"/>
        <item x="65"/>
        <item x="177"/>
        <item x="55"/>
        <item x="193"/>
        <item x="11"/>
        <item x="169"/>
        <item x="53"/>
        <item x="95"/>
        <item x="92"/>
        <item x="186"/>
        <item x="165"/>
        <item x="49"/>
        <item x="52"/>
        <item x="102"/>
        <item x="26"/>
        <item x="129"/>
        <item x="10"/>
        <item x="25"/>
        <item x="171"/>
        <item x="31"/>
        <item x="66"/>
        <item x="34"/>
        <item x="69"/>
        <item x="149"/>
        <item x="86"/>
        <item x="39"/>
        <item x="182"/>
        <item x="97"/>
        <item x="152"/>
        <item x="153"/>
        <item x="41"/>
        <item x="118"/>
        <item x="77"/>
        <item x="117"/>
        <item x="147"/>
        <item x="16"/>
        <item x="131"/>
        <item x="4"/>
        <item x="170"/>
        <item x="19"/>
        <item x="119"/>
        <item x="64"/>
        <item x="50"/>
        <item x="174"/>
        <item x="145"/>
        <item x="54"/>
        <item x="150"/>
        <item x="12"/>
        <item x="13"/>
        <item x="190"/>
        <item x="67"/>
        <item x="123"/>
        <item x="176"/>
        <item x="159"/>
        <item x="48"/>
        <item x="20"/>
        <item x="60"/>
        <item x="89"/>
        <item x="15"/>
        <item x="125"/>
        <item x="113"/>
        <item x="115"/>
        <item x="142"/>
        <item x="96"/>
        <item x="68"/>
        <item x="116"/>
        <item x="105"/>
        <item x="136"/>
        <item x="81"/>
        <item x="126"/>
        <item x="185"/>
        <item x="175"/>
        <item x="160"/>
        <item x="17"/>
        <item x="84"/>
        <item x="85"/>
        <item x="87"/>
        <item t="default"/>
      </items>
    </pivotField>
    <pivotField showAll="0">
      <items count="153">
        <item x="147"/>
        <item x="24"/>
        <item x="95"/>
        <item x="124"/>
        <item x="7"/>
        <item x="51"/>
        <item x="148"/>
        <item x="19"/>
        <item x="141"/>
        <item x="105"/>
        <item x="91"/>
        <item x="99"/>
        <item x="56"/>
        <item x="57"/>
        <item x="138"/>
        <item x="88"/>
        <item x="77"/>
        <item x="144"/>
        <item x="32"/>
        <item x="27"/>
        <item x="48"/>
        <item x="139"/>
        <item x="134"/>
        <item x="50"/>
        <item x="58"/>
        <item x="16"/>
        <item x="80"/>
        <item x="21"/>
        <item x="127"/>
        <item x="43"/>
        <item x="5"/>
        <item x="25"/>
        <item x="130"/>
        <item x="35"/>
        <item x="8"/>
        <item x="37"/>
        <item x="4"/>
        <item x="92"/>
        <item x="73"/>
        <item x="129"/>
        <item x="36"/>
        <item x="53"/>
        <item x="103"/>
        <item x="9"/>
        <item x="47"/>
        <item x="146"/>
        <item x="69"/>
        <item x="2"/>
        <item x="100"/>
        <item x="113"/>
        <item x="151"/>
        <item x="72"/>
        <item x="101"/>
        <item x="83"/>
        <item x="125"/>
        <item x="136"/>
        <item x="33"/>
        <item x="132"/>
        <item x="66"/>
        <item x="70"/>
        <item x="68"/>
        <item x="65"/>
        <item x="150"/>
        <item x="122"/>
        <item x="126"/>
        <item x="26"/>
        <item x="104"/>
        <item x="108"/>
        <item x="102"/>
        <item x="121"/>
        <item x="23"/>
        <item x="60"/>
        <item x="61"/>
        <item x="0"/>
        <item x="20"/>
        <item x="40"/>
        <item x="119"/>
        <item x="81"/>
        <item x="96"/>
        <item x="79"/>
        <item x="111"/>
        <item x="10"/>
        <item x="29"/>
        <item x="3"/>
        <item x="59"/>
        <item x="13"/>
        <item x="52"/>
        <item x="85"/>
        <item x="71"/>
        <item x="45"/>
        <item x="39"/>
        <item x="12"/>
        <item x="14"/>
        <item x="118"/>
        <item x="120"/>
        <item x="86"/>
        <item x="44"/>
        <item x="38"/>
        <item x="94"/>
        <item x="93"/>
        <item x="115"/>
        <item x="135"/>
        <item x="149"/>
        <item x="64"/>
        <item x="63"/>
        <item x="18"/>
        <item x="42"/>
        <item x="84"/>
        <item x="107"/>
        <item x="28"/>
        <item x="49"/>
        <item x="112"/>
        <item x="114"/>
        <item x="123"/>
        <item x="87"/>
        <item x="131"/>
        <item x="145"/>
        <item x="31"/>
        <item x="22"/>
        <item x="76"/>
        <item x="15"/>
        <item x="75"/>
        <item x="89"/>
        <item x="90"/>
        <item x="109"/>
        <item x="6"/>
        <item x="30"/>
        <item x="54"/>
        <item x="133"/>
        <item x="117"/>
        <item x="128"/>
        <item x="116"/>
        <item x="110"/>
        <item x="142"/>
        <item x="1"/>
        <item x="143"/>
        <item x="97"/>
        <item x="11"/>
        <item x="46"/>
        <item x="74"/>
        <item x="78"/>
        <item x="55"/>
        <item x="62"/>
        <item x="106"/>
        <item x="82"/>
        <item x="67"/>
        <item x="34"/>
        <item x="98"/>
        <item x="17"/>
        <item x="137"/>
        <item x="140"/>
        <item x="41"/>
        <item t="default"/>
      </items>
    </pivotField>
    <pivotField showAll="0"/>
    <pivotField axis="axisRow" showAll="0">
      <items count="10">
        <item x="7"/>
        <item x="8"/>
        <item x="4"/>
        <item x="5"/>
        <item x="6"/>
        <item x="3"/>
        <item x="2"/>
        <item x="1"/>
        <item x="0"/>
        <item t="default"/>
      </items>
    </pivotField>
    <pivotField dataField="1" showAll="0"/>
    <pivotField showAll="0">
      <items count="7">
        <item x="3"/>
        <item x="5"/>
        <item x="1"/>
        <item x="2"/>
        <item x="0"/>
        <item x="4"/>
        <item t="default"/>
      </items>
    </pivotField>
    <pivotField showAll="0"/>
    <pivotField numFmtId="16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n="Low" x="1"/>
        <item n="Medium" x="2"/>
        <item n="High" x="0"/>
        <item t="default"/>
      </items>
    </pivotField>
  </pivotFields>
  <rowFields count="2">
    <field x="17"/>
    <field x="3"/>
  </rowFields>
  <rowItems count="13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Book name" fld="0" subtotal="count" baseField="0" baseItem="0"/>
    <dataField name="Average of Reviews Count" fld="4" subtotal="average" baseField="3" baseItem="0"/>
    <dataField name="Count of Book name2" fld="0" subtotal="count" showDataAs="percentOfCol" baseField="3" baseItem="2" numFmtId="10"/>
  </dataFields>
  <formats count="14">
    <format dxfId="38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1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outline="0" fieldPosition="0">
        <references count="1">
          <reference field="4294967294" count="1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2"/>
          </reference>
          <reference field="17" count="1">
            <x v="0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2"/>
          </reference>
          <reference field="3" count="3">
            <x v="0"/>
            <x v="1"/>
            <x v="2"/>
          </reference>
          <reference field="17" count="1" selected="0">
            <x v="0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17" count="1">
            <x v="1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2"/>
          </reference>
          <reference field="3" count="3">
            <x v="3"/>
            <x v="4"/>
            <x v="5"/>
          </reference>
          <reference field="17" count="1" selected="0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17" count="1">
            <x v="2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2"/>
          </reference>
          <reference field="3" count="3">
            <x v="6"/>
            <x v="7"/>
            <x v="8"/>
          </reference>
          <reference field="1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E2D20-5002-49A7-9B52-73E7B22D7384}" name="Format &amp; Pricing Distribu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Format">
  <location ref="A328:C335" firstHeaderRow="0" firstDataRow="1" firstDataCol="1" rowPageCount="1" colPageCount="1"/>
  <pivotFields count="18">
    <pivotField dataField="1" showAll="0"/>
    <pivotField showAll="0"/>
    <pivotField showAll="0"/>
    <pivotField showAll="0">
      <items count="10">
        <item x="7"/>
        <item x="8"/>
        <item x="4"/>
        <item x="5"/>
        <item x="6"/>
        <item x="3"/>
        <item x="2"/>
        <item x="1"/>
        <item x="0"/>
        <item t="default"/>
      </items>
    </pivotField>
    <pivotField showAll="0"/>
    <pivotField axis="axisRow" showAll="0">
      <items count="7">
        <item x="3"/>
        <item x="5"/>
        <item x="1"/>
        <item x="2"/>
        <item x="0"/>
        <item x="4"/>
        <item t="default"/>
      </items>
    </pivotField>
    <pivotField showAll="0"/>
    <pivotField dataField="1" numFmtId="164" showAll="0"/>
    <pivotField showAll="0"/>
    <pivotField showAll="0"/>
    <pivotField numFmtId="14" showAll="0"/>
    <pivotField showAll="0">
      <items count="22">
        <item x="16"/>
        <item x="4"/>
        <item x="8"/>
        <item x="13"/>
        <item x="10"/>
        <item x="7"/>
        <item x="12"/>
        <item x="3"/>
        <item x="1"/>
        <item x="17"/>
        <item x="2"/>
        <item x="9"/>
        <item x="18"/>
        <item x="11"/>
        <item x="14"/>
        <item x="6"/>
        <item x="15"/>
        <item x="0"/>
        <item x="19"/>
        <item x="20"/>
        <item x="5"/>
        <item t="default"/>
      </items>
    </pivotField>
    <pivotField showAll="0"/>
    <pivotField showAll="0"/>
    <pivotField showAll="0"/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Count of Book name" fld="0" subtotal="count" baseField="0" baseItem="0"/>
    <dataField name="Average of Price F($)" fld="7" subtotal="average" showDataAs="percentOfCol" baseField="5" baseItem="0" numFmtId="10"/>
  </dataFields>
  <formats count="7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">
      <pivotArea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89146-93B4-4FB5-94A5-7E5951972C51}" name="Author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uthors">
  <location ref="A3:C156" firstHeaderRow="0" firstDataRow="1" firstDataCol="1"/>
  <pivotFields count="18">
    <pivotField showAll="0"/>
    <pivotField axis="axisRow" showAll="0" sortType="descending">
      <items count="153">
        <item x="147"/>
        <item x="24"/>
        <item x="95"/>
        <item x="124"/>
        <item x="7"/>
        <item x="51"/>
        <item x="148"/>
        <item x="19"/>
        <item x="141"/>
        <item x="105"/>
        <item x="91"/>
        <item x="99"/>
        <item x="56"/>
        <item x="57"/>
        <item x="138"/>
        <item x="88"/>
        <item x="77"/>
        <item x="144"/>
        <item x="32"/>
        <item x="27"/>
        <item x="48"/>
        <item x="139"/>
        <item x="134"/>
        <item x="50"/>
        <item x="58"/>
        <item x="16"/>
        <item x="80"/>
        <item x="21"/>
        <item x="127"/>
        <item x="43"/>
        <item x="5"/>
        <item x="25"/>
        <item x="130"/>
        <item x="35"/>
        <item x="8"/>
        <item x="37"/>
        <item x="4"/>
        <item x="92"/>
        <item x="73"/>
        <item x="129"/>
        <item x="36"/>
        <item x="53"/>
        <item x="103"/>
        <item x="9"/>
        <item x="47"/>
        <item x="146"/>
        <item x="69"/>
        <item x="2"/>
        <item x="100"/>
        <item x="113"/>
        <item x="151"/>
        <item x="72"/>
        <item x="101"/>
        <item x="83"/>
        <item x="125"/>
        <item x="136"/>
        <item x="33"/>
        <item x="132"/>
        <item x="66"/>
        <item x="70"/>
        <item x="68"/>
        <item x="65"/>
        <item x="150"/>
        <item x="122"/>
        <item x="126"/>
        <item x="26"/>
        <item x="104"/>
        <item x="108"/>
        <item x="102"/>
        <item x="121"/>
        <item x="23"/>
        <item x="60"/>
        <item x="61"/>
        <item x="0"/>
        <item x="20"/>
        <item x="40"/>
        <item x="119"/>
        <item x="81"/>
        <item x="96"/>
        <item x="79"/>
        <item x="111"/>
        <item x="10"/>
        <item x="29"/>
        <item x="3"/>
        <item x="59"/>
        <item x="13"/>
        <item x="52"/>
        <item x="85"/>
        <item x="71"/>
        <item x="45"/>
        <item x="39"/>
        <item x="12"/>
        <item x="14"/>
        <item x="118"/>
        <item x="120"/>
        <item x="86"/>
        <item x="44"/>
        <item x="38"/>
        <item x="94"/>
        <item x="93"/>
        <item x="115"/>
        <item x="135"/>
        <item x="149"/>
        <item x="64"/>
        <item x="63"/>
        <item x="18"/>
        <item x="42"/>
        <item x="84"/>
        <item x="107"/>
        <item x="28"/>
        <item x="49"/>
        <item x="112"/>
        <item x="114"/>
        <item x="123"/>
        <item x="87"/>
        <item x="131"/>
        <item x="145"/>
        <item x="31"/>
        <item x="22"/>
        <item x="76"/>
        <item x="15"/>
        <item x="75"/>
        <item x="89"/>
        <item x="90"/>
        <item x="109"/>
        <item x="6"/>
        <item x="30"/>
        <item x="54"/>
        <item x="133"/>
        <item x="117"/>
        <item x="128"/>
        <item x="116"/>
        <item x="110"/>
        <item x="142"/>
        <item x="1"/>
        <item x="143"/>
        <item x="97"/>
        <item x="11"/>
        <item x="46"/>
        <item x="74"/>
        <item x="78"/>
        <item x="55"/>
        <item x="62"/>
        <item x="106"/>
        <item x="82"/>
        <item x="67"/>
        <item x="34"/>
        <item x="98"/>
        <item x="17"/>
        <item x="137"/>
        <item x="140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0">
        <item x="7"/>
        <item x="8"/>
        <item x="4"/>
        <item x="5"/>
        <item x="6"/>
        <item x="3"/>
        <item x="2"/>
        <item x="1"/>
        <item x="0"/>
        <item t="default"/>
      </items>
    </pivotField>
    <pivotField dataField="1" showAll="0"/>
    <pivotField showAll="0"/>
    <pivotField showAll="0"/>
    <pivotField numFmtId="16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1"/>
  </rowFields>
  <rowItems count="153">
    <i>
      <x v="102"/>
    </i>
    <i>
      <x v="64"/>
    </i>
    <i>
      <x v="52"/>
    </i>
    <i>
      <x v="8"/>
    </i>
    <i>
      <x v="149"/>
    </i>
    <i>
      <x v="18"/>
    </i>
    <i>
      <x v="130"/>
    </i>
    <i>
      <x v="21"/>
    </i>
    <i>
      <x v="54"/>
    </i>
    <i>
      <x v="22"/>
    </i>
    <i>
      <x v="73"/>
    </i>
    <i>
      <x v="30"/>
    </i>
    <i>
      <x v="78"/>
    </i>
    <i>
      <x v="34"/>
    </i>
    <i>
      <x v="128"/>
    </i>
    <i>
      <x v="49"/>
    </i>
    <i>
      <x v="137"/>
    </i>
    <i>
      <x v="50"/>
    </i>
    <i>
      <x v="144"/>
    </i>
    <i>
      <x v="43"/>
    </i>
    <i>
      <x v="116"/>
    </i>
    <i>
      <x v="14"/>
    </i>
    <i>
      <x v="3"/>
    </i>
    <i>
      <x v="39"/>
    </i>
    <i>
      <x v="20"/>
    </i>
    <i>
      <x v="100"/>
    </i>
    <i>
      <x v="5"/>
    </i>
    <i>
      <x v="106"/>
    </i>
    <i>
      <x v="2"/>
    </i>
    <i>
      <x v="120"/>
    </i>
    <i>
      <x v="55"/>
    </i>
    <i>
      <x v="133"/>
    </i>
    <i>
      <x v="139"/>
    </i>
    <i>
      <x v="96"/>
    </i>
    <i>
      <x v="147"/>
    </i>
    <i>
      <x v="101"/>
    </i>
    <i>
      <x v="23"/>
    </i>
    <i>
      <x v="104"/>
    </i>
    <i>
      <x v="68"/>
    </i>
    <i>
      <x v="112"/>
    </i>
    <i>
      <x v="9"/>
    </i>
    <i>
      <x v="119"/>
    </i>
    <i>
      <x v="31"/>
    </i>
    <i>
      <x v="37"/>
    </i>
    <i>
      <x v="32"/>
    </i>
    <i>
      <x v="132"/>
    </i>
    <i>
      <x v="81"/>
    </i>
    <i>
      <x v="135"/>
    </i>
    <i>
      <x v="85"/>
    </i>
    <i>
      <x v="48"/>
    </i>
    <i>
      <x v="95"/>
    </i>
    <i>
      <x v="60"/>
    </i>
    <i>
      <x v="62"/>
    </i>
    <i>
      <x v="74"/>
    </i>
    <i>
      <x v="42"/>
    </i>
    <i>
      <x v="4"/>
    </i>
    <i>
      <x v="83"/>
    </i>
    <i>
      <x v="80"/>
    </i>
    <i>
      <x v="45"/>
    </i>
    <i>
      <x v="145"/>
    </i>
    <i>
      <x v="46"/>
    </i>
    <i>
      <x v="79"/>
    </i>
    <i>
      <x v="47"/>
    </i>
    <i>
      <x v="82"/>
    </i>
    <i>
      <x v="105"/>
    </i>
    <i>
      <x v="140"/>
    </i>
    <i>
      <x v="69"/>
    </i>
    <i>
      <x v="25"/>
    </i>
    <i>
      <x v="40"/>
    </i>
    <i>
      <x v="110"/>
    </i>
    <i>
      <x v="129"/>
    </i>
    <i>
      <x v="111"/>
    </i>
    <i>
      <x v="131"/>
    </i>
    <i>
      <x v="70"/>
    </i>
    <i>
      <x v="12"/>
    </i>
    <i>
      <x v="113"/>
    </i>
    <i>
      <x v="136"/>
    </i>
    <i>
      <x v="114"/>
    </i>
    <i>
      <x v="53"/>
    </i>
    <i>
      <x v="28"/>
    </i>
    <i>
      <x v="89"/>
    </i>
    <i>
      <x v="36"/>
    </i>
    <i>
      <x v="146"/>
    </i>
    <i>
      <x v="77"/>
    </i>
    <i>
      <x v="148"/>
    </i>
    <i>
      <x v="126"/>
    </i>
    <i>
      <x v="127"/>
    </i>
    <i>
      <x v="76"/>
    </i>
    <i>
      <x v="125"/>
    </i>
    <i>
      <x v="92"/>
    </i>
    <i>
      <x v="91"/>
    </i>
    <i>
      <x v="134"/>
    </i>
    <i>
      <x v="38"/>
    </i>
    <i>
      <x v="109"/>
    </i>
    <i>
      <x/>
    </i>
    <i>
      <x v="142"/>
    </i>
    <i>
      <x v="11"/>
    </i>
    <i>
      <x v="1"/>
    </i>
    <i>
      <x v="71"/>
    </i>
    <i>
      <x v="87"/>
    </i>
    <i>
      <x v="115"/>
    </i>
    <i>
      <x v="63"/>
    </i>
    <i>
      <x v="117"/>
    </i>
    <i>
      <x v="151"/>
    </i>
    <i>
      <x v="118"/>
    </i>
    <i>
      <x v="108"/>
    </i>
    <i>
      <x v="24"/>
    </i>
    <i>
      <x v="86"/>
    </i>
    <i>
      <x v="29"/>
    </i>
    <i>
      <x v="138"/>
    </i>
    <i>
      <x v="19"/>
    </i>
    <i>
      <x v="88"/>
    </i>
    <i>
      <x v="122"/>
    </i>
    <i>
      <x v="90"/>
    </i>
    <i>
      <x v="16"/>
    </i>
    <i>
      <x v="58"/>
    </i>
    <i>
      <x v="124"/>
    </i>
    <i>
      <x v="99"/>
    </i>
    <i>
      <x v="150"/>
    </i>
    <i>
      <x v="123"/>
    </i>
    <i>
      <x v="143"/>
    </i>
    <i>
      <x v="67"/>
    </i>
    <i>
      <x v="103"/>
    </i>
    <i>
      <x v="33"/>
    </i>
    <i>
      <x v="141"/>
    </i>
    <i>
      <x v="35"/>
    </i>
    <i>
      <x v="56"/>
    </i>
    <i>
      <x v="15"/>
    </i>
    <i>
      <x v="107"/>
    </i>
    <i>
      <x v="121"/>
    </i>
    <i>
      <x v="98"/>
    </i>
    <i>
      <x v="44"/>
    </i>
    <i>
      <x v="27"/>
    </i>
    <i>
      <x v="41"/>
    </i>
    <i>
      <x v="65"/>
    </i>
    <i>
      <x v="26"/>
    </i>
    <i>
      <x v="97"/>
    </i>
    <i>
      <x v="72"/>
    </i>
    <i>
      <x v="57"/>
    </i>
    <i>
      <x v="6"/>
    </i>
    <i>
      <x v="13"/>
    </i>
    <i>
      <x v="61"/>
    </i>
    <i>
      <x v="75"/>
    </i>
    <i>
      <x v="59"/>
    </i>
    <i>
      <x v="10"/>
    </i>
    <i>
      <x v="7"/>
    </i>
    <i>
      <x v="66"/>
    </i>
    <i>
      <x v="17"/>
    </i>
    <i>
      <x v="93"/>
    </i>
    <i>
      <x v="94"/>
    </i>
    <i>
      <x v="84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 F" fld="3" subtotal="average" baseField="1" baseItem="0" numFmtId="165"/>
    <dataField name="Sum of Reviews Count" fld="4" baseField="0" baseItem="0"/>
  </dataFields>
  <formats count="11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2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1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0">
      <pivotArea dataOnly="0" labelOnly="1" fieldPosition="0">
        <references count="1">
          <reference field="1" count="2">
            <x v="150"/>
            <x v="151"/>
          </reference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outline="0" collapsedLevelsAreSubtotals="1" fieldPosition="0"/>
    </format>
    <format dxfId="46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A2DAF-1D6A-43F0-92FC-AA91CC90640A}" name="books" displayName="books" ref="A1:O211" totalsRowShown="0" headerRowDxfId="86" dataDxfId="85" tableBorderDxfId="84">
  <autoFilter ref="A1:O211" xr:uid="{DCE8C30D-E750-446B-88D8-55699346C5C3}"/>
  <tableColumns count="15">
    <tableColumn id="1" xr3:uid="{74F5E101-6B37-4AE1-8E84-3D24E71EF35B}" name="Book name" dataDxfId="83"/>
    <tableColumn id="2" xr3:uid="{A7644F10-33E9-4EF3-8A0D-85904BA6473E}" name="Author" dataDxfId="82"/>
    <tableColumn id="3" xr3:uid="{9081702B-66E5-4774-A760-C43D155AC42E}" name="Rating" dataDxfId="81"/>
    <tableColumn id="14" xr3:uid="{5BF2F20D-6B5A-4F2D-A1E0-D08D4A671DD5}" name="Rating F" dataDxfId="80"/>
    <tableColumn id="4" xr3:uid="{2F10F97C-FDF4-4CAF-A090-131E967143E6}" name="Reviews Count" dataDxfId="79"/>
    <tableColumn id="5" xr3:uid="{0F5A1A81-6CA5-4C0F-BC32-E2EEBC606826}" name="Form" dataDxfId="78"/>
    <tableColumn id="6" xr3:uid="{FD7789EF-0588-4DB7-9C1E-667F5A160532}" name="Price" dataDxfId="77"/>
    <tableColumn id="15" xr3:uid="{16D57E93-A618-48A2-90C1-659CA86E070B}" name="Price F($)" dataDxfId="76"/>
    <tableColumn id="7" xr3:uid="{08F92187-C4E7-487D-9D05-7220A0447062}" name="Reading age" dataDxfId="75"/>
    <tableColumn id="8" xr3:uid="{83EA3FD0-BCE7-4EFC-827E-AFE08EEDAECE}" name="Print Length" dataDxfId="74"/>
    <tableColumn id="9" xr3:uid="{6D0EBE96-430A-4905-9B73-7ABC8D02E1CA}" name="Publishing date" dataDxfId="73"/>
    <tableColumn id="10" xr3:uid="{30A72F77-120E-4104-8FA0-A41BAE879ABB}" name="0" dataDxfId="72"/>
    <tableColumn id="11" xr3:uid="{BEB91D70-9376-4D40-81F0-34C4BED9711D}" name="Id_2023" dataDxfId="71"/>
    <tableColumn id="12" xr3:uid="{E678ED4F-90A4-4108-B47A-01B2AC13090E}" name="Id_2024" dataDxfId="70"/>
    <tableColumn id="13" xr3:uid="{EB306BD8-6E26-404B-A843-42220A171C71}" name="Id_2025" dataDxfId="69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746482-E24E-47B9-A5E1-2BD6FE1E003E}" name="Books_DB_F" displayName="Books_DB_F" ref="A1:Q197" totalsRowShown="0">
  <autoFilter ref="A1:Q197" xr:uid="{08746482-E24E-47B9-A5E1-2BD6FE1E003E}"/>
  <sortState xmlns:xlrd2="http://schemas.microsoft.com/office/spreadsheetml/2017/richdata2" ref="A2:Q197">
    <sortCondition descending="1" ref="H1:H197"/>
  </sortState>
  <tableColumns count="17">
    <tableColumn id="1" xr3:uid="{80FE1B78-3300-4126-95E2-98986855E6E3}" name="Book name" dataDxfId="68"/>
    <tableColumn id="2" xr3:uid="{65740C6D-798B-408B-BFE3-D2B2C5A37F9F}" name="Author" dataDxfId="67"/>
    <tableColumn id="3" xr3:uid="{7BFD5188-A4C5-468A-9DDC-2DF173B97CD9}" name="Rating" dataDxfId="66"/>
    <tableColumn id="4" xr3:uid="{06C891EB-7A99-4A1D-9D98-466148548148}" name="Rating F" dataDxfId="65"/>
    <tableColumn id="5" xr3:uid="{86F9AD61-3FDF-4F03-88AC-1E9A04F76FA3}" name="Reviews Count"/>
    <tableColumn id="6" xr3:uid="{98BAA0B5-249A-47E7-9E78-EF90D01C1C60}" name="Form" dataDxfId="64"/>
    <tableColumn id="7" xr3:uid="{33858577-7293-48EB-99B1-0EECCBEB25BE}" name="Price" dataDxfId="63"/>
    <tableColumn id="8" xr3:uid="{F6EF9803-7B12-46B9-8286-A3D0C34134CA}" name="Price F($)" dataDxfId="62"/>
    <tableColumn id="9" xr3:uid="{DDD6223B-3E7E-48D5-8CE4-9A9746CE6362}" name="Reading age" dataDxfId="61"/>
    <tableColumn id="10" xr3:uid="{A0932327-061E-409F-8F69-F3EF85CA63A3}" name="Print Length"/>
    <tableColumn id="11" xr3:uid="{19738060-783D-401D-8FF2-1DBACA825589}" name="Publishing date" dataDxfId="60"/>
    <tableColumn id="12" xr3:uid="{9BCA4455-51E0-4A8D-B4DF-D7679A873E60}" name="Genre" dataDxfId="59"/>
    <tableColumn id="13" xr3:uid="{67803C2B-FA2F-46AD-91F4-ED00FCE90D2F}" name="Id_2023"/>
    <tableColumn id="14" xr3:uid="{08F9747B-C48F-4E3B-90FF-1D29A8DAB662}" name="Id_2024"/>
    <tableColumn id="15" xr3:uid="{2882B81B-4B2E-4C79-A23B-6EF8A83952CE}" name="Id_2025"/>
    <tableColumn id="16" xr3:uid="{E5615712-8165-478E-B733-1E9E30272C17}" name="Rating_Category" dataDxfId="58">
      <calculatedColumnFormula>IF(Books_DB_F[[#This Row],[Rating F]]&gt;=4.7,"High",IF(Books_DB_F[[#This Row],[Rating F]]&gt;=4.4,"Medium","Low"))</calculatedColumnFormula>
    </tableColumn>
    <tableColumn id="17" xr3:uid="{92B0CAF0-1891-4C50-BCCF-B1297383E6B4}" name="Pricing_Category" dataDxfId="57">
      <calculatedColumnFormula>IF(Books_DB_F[[#This Row],[Price F($)]]&gt;48,"Premium",IF(Books_DB_F[[#This Row],[Price F($)]]&gt;25,"Mid","Budget"))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7DAF-CEC7-435A-8187-426D35901816}">
  <dimension ref="A1:O211"/>
  <sheetViews>
    <sheetView topLeftCell="C1" workbookViewId="0">
      <selection activeCell="L1" sqref="L1:L1048576"/>
    </sheetView>
  </sheetViews>
  <sheetFormatPr defaultRowHeight="15" x14ac:dyDescent="0.25"/>
  <cols>
    <col min="1" max="1" width="70.140625" customWidth="1"/>
    <col min="2" max="2" width="34.140625" bestFit="1" customWidth="1"/>
    <col min="3" max="3" width="15.42578125" bestFit="1" customWidth="1"/>
    <col min="4" max="4" width="10.28515625" bestFit="1" customWidth="1"/>
    <col min="5" max="6" width="16.42578125" bestFit="1" customWidth="1"/>
    <col min="7" max="7" width="7.7109375" bestFit="1" customWidth="1"/>
    <col min="8" max="8" width="11.5703125" bestFit="1" customWidth="1"/>
    <col min="9" max="10" width="14" bestFit="1" customWidth="1"/>
    <col min="11" max="11" width="17.140625" bestFit="1" customWidth="1"/>
    <col min="12" max="12" width="35.5703125" bestFit="1" customWidth="1"/>
    <col min="13" max="14" width="10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582</v>
      </c>
      <c r="E1" s="1" t="s">
        <v>579</v>
      </c>
      <c r="F1" s="1" t="s">
        <v>580</v>
      </c>
      <c r="G1" s="1" t="s">
        <v>581</v>
      </c>
      <c r="H1" s="1" t="s">
        <v>583</v>
      </c>
      <c r="I1" s="1" t="s">
        <v>3</v>
      </c>
      <c r="J1" s="1" t="s">
        <v>4</v>
      </c>
      <c r="K1" s="1" t="s">
        <v>5</v>
      </c>
      <c r="L1" s="1" t="s">
        <v>602</v>
      </c>
      <c r="M1" s="1" t="s">
        <v>585</v>
      </c>
      <c r="N1" s="1" t="s">
        <v>584</v>
      </c>
      <c r="O1" s="1" t="s">
        <v>586</v>
      </c>
    </row>
    <row r="2" spans="1:15" x14ac:dyDescent="0.25">
      <c r="A2" s="2" t="s">
        <v>7</v>
      </c>
      <c r="B2" s="2" t="s">
        <v>8</v>
      </c>
      <c r="C2" s="2" t="s">
        <v>9</v>
      </c>
      <c r="D2" s="2">
        <v>4.8</v>
      </c>
      <c r="E2" s="2">
        <v>145747</v>
      </c>
      <c r="F2" s="2" t="s">
        <v>10</v>
      </c>
      <c r="G2" s="2" t="s">
        <v>11</v>
      </c>
      <c r="H2" s="2">
        <v>18.88</v>
      </c>
      <c r="I2" s="2" t="s">
        <v>12</v>
      </c>
      <c r="J2" s="2">
        <v>320</v>
      </c>
      <c r="K2" s="3">
        <v>43389</v>
      </c>
      <c r="L2" s="2" t="s">
        <v>13</v>
      </c>
      <c r="M2" s="2">
        <v>1</v>
      </c>
      <c r="N2" s="2">
        <v>3</v>
      </c>
      <c r="O2" s="2">
        <v>6</v>
      </c>
    </row>
    <row r="3" spans="1:15" x14ac:dyDescent="0.25">
      <c r="A3" s="4" t="s">
        <v>578</v>
      </c>
      <c r="B3" s="4" t="s">
        <v>14</v>
      </c>
      <c r="C3" s="4" t="s">
        <v>15</v>
      </c>
      <c r="D3" s="4">
        <v>4.7</v>
      </c>
      <c r="E3" s="4">
        <v>395512</v>
      </c>
      <c r="F3" s="4" t="s">
        <v>10</v>
      </c>
      <c r="G3" s="4" t="s">
        <v>16</v>
      </c>
      <c r="H3" s="4">
        <v>11.05</v>
      </c>
      <c r="I3" s="4" t="s">
        <v>12</v>
      </c>
      <c r="J3" s="4">
        <v>640</v>
      </c>
      <c r="K3" s="5">
        <v>45237</v>
      </c>
      <c r="L3" s="4" t="s">
        <v>17</v>
      </c>
      <c r="M3" s="4">
        <v>2</v>
      </c>
      <c r="N3" s="4">
        <v>13</v>
      </c>
      <c r="O3" s="4"/>
    </row>
    <row r="4" spans="1:15" x14ac:dyDescent="0.25">
      <c r="A4" s="2" t="s">
        <v>18</v>
      </c>
      <c r="B4" s="2" t="s">
        <v>19</v>
      </c>
      <c r="C4" s="2" t="s">
        <v>20</v>
      </c>
      <c r="D4" s="2">
        <v>4.5</v>
      </c>
      <c r="E4" s="2">
        <v>116101</v>
      </c>
      <c r="F4" s="2" t="s">
        <v>10</v>
      </c>
      <c r="G4" s="2" t="s">
        <v>21</v>
      </c>
      <c r="H4" s="2">
        <v>11.99</v>
      </c>
      <c r="I4" s="2" t="s">
        <v>12</v>
      </c>
      <c r="J4" s="2">
        <v>416</v>
      </c>
      <c r="K4" s="3">
        <v>44936</v>
      </c>
      <c r="L4" s="2" t="s">
        <v>22</v>
      </c>
      <c r="M4" s="2">
        <v>3</v>
      </c>
      <c r="N4" s="2"/>
      <c r="O4" s="2"/>
    </row>
    <row r="5" spans="1:15" x14ac:dyDescent="0.25">
      <c r="A5" s="4" t="s">
        <v>23</v>
      </c>
      <c r="B5" s="4" t="s">
        <v>14</v>
      </c>
      <c r="C5" s="4" t="s">
        <v>9</v>
      </c>
      <c r="D5" s="4">
        <v>4.8</v>
      </c>
      <c r="E5" s="4">
        <v>472618</v>
      </c>
      <c r="F5" s="4" t="s">
        <v>24</v>
      </c>
      <c r="G5" s="4" t="s">
        <v>25</v>
      </c>
      <c r="H5" s="4">
        <v>13.62</v>
      </c>
      <c r="I5" s="4" t="s">
        <v>12</v>
      </c>
      <c r="J5" s="4">
        <v>544</v>
      </c>
      <c r="K5" s="5">
        <v>45552</v>
      </c>
      <c r="L5" s="4" t="s">
        <v>17</v>
      </c>
      <c r="M5" s="4">
        <v>4</v>
      </c>
      <c r="N5" s="4">
        <v>16</v>
      </c>
      <c r="O5" s="4">
        <v>76</v>
      </c>
    </row>
    <row r="6" spans="1:15" x14ac:dyDescent="0.25">
      <c r="A6" s="2" t="s">
        <v>26</v>
      </c>
      <c r="B6" s="2" t="s">
        <v>27</v>
      </c>
      <c r="C6" s="2" t="s">
        <v>28</v>
      </c>
      <c r="D6" s="2">
        <v>4.4000000000000004</v>
      </c>
      <c r="E6" s="2">
        <v>51520</v>
      </c>
      <c r="F6" s="2" t="s">
        <v>10</v>
      </c>
      <c r="G6" s="2" t="s">
        <v>29</v>
      </c>
      <c r="H6" s="2">
        <v>11.37</v>
      </c>
      <c r="I6" s="2" t="s">
        <v>12</v>
      </c>
      <c r="J6" s="2">
        <v>288</v>
      </c>
      <c r="K6" s="3">
        <v>45223</v>
      </c>
      <c r="L6" s="2" t="s">
        <v>22</v>
      </c>
      <c r="M6" s="2">
        <v>5</v>
      </c>
      <c r="N6" s="2"/>
      <c r="O6" s="2"/>
    </row>
    <row r="7" spans="1:15" x14ac:dyDescent="0.25">
      <c r="A7" s="4" t="s">
        <v>30</v>
      </c>
      <c r="B7" s="4" t="s">
        <v>31</v>
      </c>
      <c r="C7" s="4" t="s">
        <v>32</v>
      </c>
      <c r="D7" s="4">
        <v>4.5999999999999996</v>
      </c>
      <c r="E7" s="4">
        <v>322650</v>
      </c>
      <c r="F7" s="4" t="s">
        <v>10</v>
      </c>
      <c r="G7" s="4" t="s">
        <v>33</v>
      </c>
      <c r="H7" s="4">
        <v>13.94</v>
      </c>
      <c r="I7" s="4" t="s">
        <v>12</v>
      </c>
      <c r="J7" s="4">
        <v>400</v>
      </c>
      <c r="K7" s="5">
        <v>44656</v>
      </c>
      <c r="L7" s="4" t="s">
        <v>17</v>
      </c>
      <c r="M7" s="4">
        <v>6</v>
      </c>
      <c r="N7" s="4"/>
      <c r="O7" s="4"/>
    </row>
    <row r="8" spans="1:15" x14ac:dyDescent="0.25">
      <c r="A8" s="2" t="s">
        <v>34</v>
      </c>
      <c r="B8" s="2" t="s">
        <v>35</v>
      </c>
      <c r="C8" s="2" t="s">
        <v>15</v>
      </c>
      <c r="D8" s="2">
        <v>4.7</v>
      </c>
      <c r="E8" s="2">
        <v>87375</v>
      </c>
      <c r="F8" s="2" t="s">
        <v>24</v>
      </c>
      <c r="G8" s="2" t="s">
        <v>36</v>
      </c>
      <c r="H8" s="2">
        <v>13.99</v>
      </c>
      <c r="I8" s="2" t="s">
        <v>12</v>
      </c>
      <c r="J8" s="2">
        <v>452</v>
      </c>
      <c r="K8" s="3">
        <v>36770</v>
      </c>
      <c r="L8" s="2" t="s">
        <v>37</v>
      </c>
      <c r="M8" s="2">
        <v>7</v>
      </c>
      <c r="N8" s="2">
        <v>11</v>
      </c>
      <c r="O8" s="2">
        <v>53</v>
      </c>
    </row>
    <row r="9" spans="1:15" x14ac:dyDescent="0.25">
      <c r="A9" s="4" t="s">
        <v>38</v>
      </c>
      <c r="B9" s="4" t="s">
        <v>39</v>
      </c>
      <c r="C9" s="4" t="s">
        <v>9</v>
      </c>
      <c r="D9" s="4">
        <v>4.8</v>
      </c>
      <c r="E9" s="4">
        <v>82564</v>
      </c>
      <c r="F9" s="4" t="s">
        <v>24</v>
      </c>
      <c r="G9" s="4" t="s">
        <v>40</v>
      </c>
      <c r="H9" s="4">
        <v>14.39</v>
      </c>
      <c r="I9" s="4" t="s">
        <v>41</v>
      </c>
      <c r="J9" s="4">
        <v>464</v>
      </c>
      <c r="K9" s="5">
        <v>42255</v>
      </c>
      <c r="L9" s="4" t="s">
        <v>42</v>
      </c>
      <c r="M9" s="4">
        <v>8</v>
      </c>
      <c r="N9" s="4">
        <v>18</v>
      </c>
      <c r="O9" s="4">
        <v>16</v>
      </c>
    </row>
    <row r="10" spans="1:15" x14ac:dyDescent="0.25">
      <c r="A10" s="2" t="s">
        <v>43</v>
      </c>
      <c r="B10" s="2" t="s">
        <v>44</v>
      </c>
      <c r="C10" s="2" t="s">
        <v>20</v>
      </c>
      <c r="D10" s="2">
        <v>4.5</v>
      </c>
      <c r="E10" s="2">
        <v>228242</v>
      </c>
      <c r="F10" s="2" t="s">
        <v>24</v>
      </c>
      <c r="G10" s="2" t="s">
        <v>45</v>
      </c>
      <c r="H10" s="2">
        <v>1.88</v>
      </c>
      <c r="I10" s="2" t="s">
        <v>12</v>
      </c>
      <c r="J10" s="2">
        <v>336</v>
      </c>
      <c r="K10" s="3">
        <v>44852</v>
      </c>
      <c r="L10" s="2" t="s">
        <v>17</v>
      </c>
      <c r="M10" s="2">
        <v>9</v>
      </c>
      <c r="N10" s="2">
        <v>19</v>
      </c>
      <c r="O10" s="2"/>
    </row>
    <row r="11" spans="1:15" x14ac:dyDescent="0.25">
      <c r="A11" s="4" t="s">
        <v>46</v>
      </c>
      <c r="B11" s="4" t="s">
        <v>47</v>
      </c>
      <c r="C11" s="4" t="s">
        <v>32</v>
      </c>
      <c r="D11" s="4">
        <v>4.5999999999999996</v>
      </c>
      <c r="E11" s="4">
        <v>19946</v>
      </c>
      <c r="F11" s="4" t="s">
        <v>10</v>
      </c>
      <c r="G11" s="4" t="s">
        <v>48</v>
      </c>
      <c r="H11" s="4">
        <v>18</v>
      </c>
      <c r="I11" s="4" t="s">
        <v>12</v>
      </c>
      <c r="J11" s="4">
        <v>496</v>
      </c>
      <c r="K11" s="5">
        <v>45013</v>
      </c>
      <c r="L11" s="4" t="s">
        <v>42</v>
      </c>
      <c r="M11" s="4">
        <v>10</v>
      </c>
      <c r="N11" s="4">
        <v>52</v>
      </c>
      <c r="O11" s="4">
        <v>62</v>
      </c>
    </row>
    <row r="12" spans="1:15" x14ac:dyDescent="0.25">
      <c r="A12" s="2" t="s">
        <v>49</v>
      </c>
      <c r="B12" s="2" t="s">
        <v>44</v>
      </c>
      <c r="C12" s="2" t="s">
        <v>15</v>
      </c>
      <c r="D12" s="2">
        <v>4.7</v>
      </c>
      <c r="E12" s="2">
        <v>405311</v>
      </c>
      <c r="F12" s="2" t="s">
        <v>24</v>
      </c>
      <c r="G12" s="2" t="s">
        <v>50</v>
      </c>
      <c r="H12" s="2">
        <v>9.0299999999999994</v>
      </c>
      <c r="I12" s="2" t="s">
        <v>12</v>
      </c>
      <c r="J12" s="2">
        <v>384</v>
      </c>
      <c r="K12" s="3">
        <v>42584</v>
      </c>
      <c r="L12" s="2" t="s">
        <v>17</v>
      </c>
      <c r="M12" s="2">
        <v>11</v>
      </c>
      <c r="N12" s="2">
        <v>9</v>
      </c>
      <c r="O12" s="2"/>
    </row>
    <row r="13" spans="1:15" x14ac:dyDescent="0.25">
      <c r="A13" s="4" t="s">
        <v>51</v>
      </c>
      <c r="B13" s="4" t="s">
        <v>52</v>
      </c>
      <c r="C13" s="4" t="s">
        <v>20</v>
      </c>
      <c r="D13" s="4">
        <v>4.5</v>
      </c>
      <c r="E13" s="4">
        <v>653111</v>
      </c>
      <c r="F13" s="4" t="s">
        <v>24</v>
      </c>
      <c r="G13" s="4" t="s">
        <v>53</v>
      </c>
      <c r="H13" s="4">
        <v>9.69</v>
      </c>
      <c r="I13" s="4" t="s">
        <v>12</v>
      </c>
      <c r="J13" s="4">
        <v>336</v>
      </c>
      <c r="K13" s="5">
        <v>44796</v>
      </c>
      <c r="L13" s="4" t="s">
        <v>54</v>
      </c>
      <c r="M13" s="4">
        <v>12</v>
      </c>
      <c r="N13" s="4">
        <v>15</v>
      </c>
      <c r="O13" s="4">
        <v>5</v>
      </c>
    </row>
    <row r="14" spans="1:15" x14ac:dyDescent="0.25">
      <c r="A14" s="2" t="s">
        <v>55</v>
      </c>
      <c r="B14" s="2" t="s">
        <v>56</v>
      </c>
      <c r="C14" s="2" t="s">
        <v>57</v>
      </c>
      <c r="D14" s="2">
        <v>4.9000000000000004</v>
      </c>
      <c r="E14" s="2">
        <v>78436</v>
      </c>
      <c r="F14" s="2" t="s">
        <v>58</v>
      </c>
      <c r="G14" s="2" t="s">
        <v>59</v>
      </c>
      <c r="H14" s="2">
        <v>5.75</v>
      </c>
      <c r="I14" s="2" t="s">
        <v>60</v>
      </c>
      <c r="J14" s="2">
        <v>26</v>
      </c>
      <c r="K14" s="3">
        <v>34416</v>
      </c>
      <c r="L14" s="2" t="s">
        <v>61</v>
      </c>
      <c r="M14" s="2">
        <v>13</v>
      </c>
      <c r="N14" s="2">
        <v>46</v>
      </c>
      <c r="O14" s="2">
        <v>17</v>
      </c>
    </row>
    <row r="15" spans="1:15" x14ac:dyDescent="0.25">
      <c r="A15" s="4" t="s">
        <v>62</v>
      </c>
      <c r="B15" s="4" t="s">
        <v>63</v>
      </c>
      <c r="C15" s="4" t="s">
        <v>28</v>
      </c>
      <c r="D15" s="4">
        <v>4.4000000000000004</v>
      </c>
      <c r="E15" s="4">
        <v>80996</v>
      </c>
      <c r="F15" s="4" t="s">
        <v>24</v>
      </c>
      <c r="G15" s="4" t="s">
        <v>64</v>
      </c>
      <c r="H15" s="4">
        <v>9.99</v>
      </c>
      <c r="I15" s="4" t="s">
        <v>12</v>
      </c>
      <c r="J15" s="4">
        <v>416</v>
      </c>
      <c r="K15" s="5">
        <v>43193</v>
      </c>
      <c r="L15" s="4" t="s">
        <v>37</v>
      </c>
      <c r="M15" s="4">
        <v>14</v>
      </c>
      <c r="N15" s="4"/>
      <c r="O15" s="4"/>
    </row>
    <row r="16" spans="1:15" x14ac:dyDescent="0.25">
      <c r="A16" s="2" t="s">
        <v>65</v>
      </c>
      <c r="B16" s="2" t="s">
        <v>44</v>
      </c>
      <c r="C16" s="2" t="s">
        <v>32</v>
      </c>
      <c r="D16" s="2">
        <v>4.5999999999999996</v>
      </c>
      <c r="E16" s="2">
        <v>443390</v>
      </c>
      <c r="F16" s="2" t="s">
        <v>24</v>
      </c>
      <c r="G16" s="2" t="s">
        <v>66</v>
      </c>
      <c r="H16" s="2">
        <v>12.09</v>
      </c>
      <c r="I16" s="2" t="s">
        <v>12</v>
      </c>
      <c r="J16" s="2">
        <v>336</v>
      </c>
      <c r="K16" s="3">
        <v>44495</v>
      </c>
      <c r="L16" s="2" t="s">
        <v>17</v>
      </c>
      <c r="M16" s="2">
        <v>15</v>
      </c>
      <c r="N16" s="2">
        <v>40</v>
      </c>
      <c r="O16" s="2">
        <v>82</v>
      </c>
    </row>
    <row r="17" spans="1:15" x14ac:dyDescent="0.25">
      <c r="A17" s="4" t="s">
        <v>67</v>
      </c>
      <c r="B17" s="4" t="s">
        <v>68</v>
      </c>
      <c r="C17" s="4" t="s">
        <v>32</v>
      </c>
      <c r="D17" s="4">
        <v>4.5999999999999996</v>
      </c>
      <c r="E17" s="4">
        <v>270507</v>
      </c>
      <c r="F17" s="4" t="s">
        <v>24</v>
      </c>
      <c r="G17" s="4" t="s">
        <v>69</v>
      </c>
      <c r="H17" s="4">
        <v>6.91</v>
      </c>
      <c r="I17" s="4" t="s">
        <v>12</v>
      </c>
      <c r="J17" s="4">
        <v>400</v>
      </c>
      <c r="K17" s="5">
        <v>43249</v>
      </c>
      <c r="L17" s="4" t="s">
        <v>17</v>
      </c>
      <c r="M17" s="4">
        <v>16</v>
      </c>
      <c r="N17" s="4">
        <v>73</v>
      </c>
      <c r="O17" s="4"/>
    </row>
    <row r="18" spans="1:15" x14ac:dyDescent="0.25">
      <c r="A18" s="2" t="s">
        <v>70</v>
      </c>
      <c r="B18" s="2" t="s">
        <v>71</v>
      </c>
      <c r="C18" s="2" t="s">
        <v>15</v>
      </c>
      <c r="D18" s="2">
        <v>4.7</v>
      </c>
      <c r="E18" s="2">
        <v>10805</v>
      </c>
      <c r="F18" s="2" t="s">
        <v>10</v>
      </c>
      <c r="G18" s="2" t="s">
        <v>72</v>
      </c>
      <c r="H18" s="2">
        <v>16.989999999999998</v>
      </c>
      <c r="I18" s="2" t="s">
        <v>12</v>
      </c>
      <c r="J18" s="2">
        <v>432</v>
      </c>
      <c r="K18" s="3">
        <v>44943</v>
      </c>
      <c r="L18" s="2" t="s">
        <v>42</v>
      </c>
      <c r="M18" s="2">
        <v>17</v>
      </c>
      <c r="N18" s="2">
        <v>91</v>
      </c>
      <c r="O18" s="2"/>
    </row>
    <row r="19" spans="1:15" x14ac:dyDescent="0.25">
      <c r="A19" s="4" t="s">
        <v>73</v>
      </c>
      <c r="B19" s="4" t="s">
        <v>74</v>
      </c>
      <c r="C19" s="4" t="s">
        <v>57</v>
      </c>
      <c r="D19" s="4">
        <v>4.9000000000000004</v>
      </c>
      <c r="E19" s="4">
        <v>9344</v>
      </c>
      <c r="F19" s="4" t="s">
        <v>10</v>
      </c>
      <c r="G19" s="4" t="s">
        <v>75</v>
      </c>
      <c r="H19" s="4">
        <v>4.3499999999999996</v>
      </c>
      <c r="I19" s="4" t="s">
        <v>76</v>
      </c>
      <c r="J19" s="4">
        <v>24</v>
      </c>
      <c r="K19" s="5">
        <v>45048</v>
      </c>
      <c r="L19" s="4" t="s">
        <v>77</v>
      </c>
      <c r="M19" s="4">
        <v>18</v>
      </c>
      <c r="N19" s="4">
        <v>92</v>
      </c>
      <c r="O19" s="4"/>
    </row>
    <row r="20" spans="1:15" x14ac:dyDescent="0.25">
      <c r="A20" s="2" t="s">
        <v>78</v>
      </c>
      <c r="B20" s="2" t="s">
        <v>79</v>
      </c>
      <c r="C20" s="2" t="s">
        <v>15</v>
      </c>
      <c r="D20" s="2">
        <v>4.7</v>
      </c>
      <c r="E20" s="2">
        <v>119661</v>
      </c>
      <c r="F20" s="2" t="s">
        <v>24</v>
      </c>
      <c r="G20" s="2" t="s">
        <v>80</v>
      </c>
      <c r="H20" s="2">
        <v>7.05</v>
      </c>
      <c r="I20" s="2" t="s">
        <v>12</v>
      </c>
      <c r="J20" s="2">
        <v>160</v>
      </c>
      <c r="K20" s="3">
        <v>35741</v>
      </c>
      <c r="L20" s="2" t="s">
        <v>13</v>
      </c>
      <c r="M20" s="2">
        <v>19</v>
      </c>
      <c r="N20" s="2">
        <v>29</v>
      </c>
      <c r="O20" s="2">
        <v>47</v>
      </c>
    </row>
    <row r="21" spans="1:15" x14ac:dyDescent="0.25">
      <c r="A21" s="4" t="s">
        <v>81</v>
      </c>
      <c r="B21" s="4" t="s">
        <v>82</v>
      </c>
      <c r="C21" s="4" t="s">
        <v>32</v>
      </c>
      <c r="D21" s="4">
        <v>4.5999999999999996</v>
      </c>
      <c r="E21" s="4">
        <v>146667</v>
      </c>
      <c r="F21" s="4" t="s">
        <v>10</v>
      </c>
      <c r="G21" s="4" t="s">
        <v>83</v>
      </c>
      <c r="H21" s="4">
        <v>17.100000000000001</v>
      </c>
      <c r="I21" s="4" t="s">
        <v>12</v>
      </c>
      <c r="J21" s="4">
        <v>560</v>
      </c>
      <c r="K21" s="5">
        <v>44852</v>
      </c>
      <c r="L21" s="4" t="s">
        <v>17</v>
      </c>
      <c r="M21" s="4">
        <v>20</v>
      </c>
      <c r="N21" s="4"/>
      <c r="O21" s="4"/>
    </row>
    <row r="22" spans="1:15" x14ac:dyDescent="0.25">
      <c r="A22" s="2" t="s">
        <v>84</v>
      </c>
      <c r="B22" s="2" t="s">
        <v>85</v>
      </c>
      <c r="C22" s="2" t="s">
        <v>32</v>
      </c>
      <c r="D22" s="2">
        <v>4.5999999999999996</v>
      </c>
      <c r="E22" s="2">
        <v>314472</v>
      </c>
      <c r="F22" s="2" t="s">
        <v>24</v>
      </c>
      <c r="G22" s="2" t="s">
        <v>86</v>
      </c>
      <c r="H22" s="2">
        <v>12.8</v>
      </c>
      <c r="I22" s="2" t="s">
        <v>12</v>
      </c>
      <c r="J22" s="2">
        <v>448</v>
      </c>
      <c r="K22" s="3">
        <v>43984</v>
      </c>
      <c r="L22" s="2" t="s">
        <v>17</v>
      </c>
      <c r="M22" s="2">
        <v>21</v>
      </c>
      <c r="N22" s="2">
        <v>12</v>
      </c>
      <c r="O22" s="2"/>
    </row>
    <row r="23" spans="1:15" x14ac:dyDescent="0.25">
      <c r="A23" s="4" t="s">
        <v>87</v>
      </c>
      <c r="B23" s="4" t="s">
        <v>88</v>
      </c>
      <c r="C23" s="4" t="s">
        <v>32</v>
      </c>
      <c r="D23" s="4">
        <v>4.5999999999999996</v>
      </c>
      <c r="E23" s="4">
        <v>15400</v>
      </c>
      <c r="F23" s="4" t="s">
        <v>24</v>
      </c>
      <c r="G23" s="4" t="s">
        <v>89</v>
      </c>
      <c r="H23" s="4">
        <v>10.41</v>
      </c>
      <c r="I23" s="4" t="s">
        <v>12</v>
      </c>
      <c r="J23" s="4">
        <v>196</v>
      </c>
      <c r="K23" s="5">
        <v>44760</v>
      </c>
      <c r="L23" s="4" t="s">
        <v>90</v>
      </c>
      <c r="M23" s="4">
        <v>22</v>
      </c>
      <c r="N23" s="4">
        <v>49</v>
      </c>
      <c r="O23" s="4"/>
    </row>
    <row r="24" spans="1:15" x14ac:dyDescent="0.25">
      <c r="A24" s="2" t="s">
        <v>91</v>
      </c>
      <c r="B24" s="2" t="s">
        <v>92</v>
      </c>
      <c r="C24" s="2" t="s">
        <v>15</v>
      </c>
      <c r="D24" s="2">
        <v>4.7</v>
      </c>
      <c r="E24" s="2">
        <v>13081</v>
      </c>
      <c r="F24" s="2" t="s">
        <v>10</v>
      </c>
      <c r="G24" s="2" t="s">
        <v>93</v>
      </c>
      <c r="H24" s="2">
        <v>2.0299999999999998</v>
      </c>
      <c r="I24" s="2" t="s">
        <v>94</v>
      </c>
      <c r="J24" s="2">
        <v>224</v>
      </c>
      <c r="K24" s="3">
        <v>45223</v>
      </c>
      <c r="L24" s="2" t="s">
        <v>61</v>
      </c>
      <c r="M24" s="2">
        <v>23</v>
      </c>
      <c r="N24" s="2"/>
      <c r="O24" s="2"/>
    </row>
    <row r="25" spans="1:15" x14ac:dyDescent="0.25">
      <c r="A25" s="4" t="s">
        <v>95</v>
      </c>
      <c r="B25" s="4" t="s">
        <v>96</v>
      </c>
      <c r="C25" s="4" t="s">
        <v>57</v>
      </c>
      <c r="D25" s="4">
        <v>4.9000000000000004</v>
      </c>
      <c r="E25" s="4">
        <v>80263</v>
      </c>
      <c r="F25" s="4" t="s">
        <v>58</v>
      </c>
      <c r="G25" s="4" t="s">
        <v>97</v>
      </c>
      <c r="H25" s="4">
        <v>3.97</v>
      </c>
      <c r="I25" s="4" t="s">
        <v>98</v>
      </c>
      <c r="J25" s="4">
        <v>28</v>
      </c>
      <c r="K25" s="5">
        <v>42066</v>
      </c>
      <c r="L25" s="4" t="s">
        <v>61</v>
      </c>
      <c r="M25" s="4">
        <v>24</v>
      </c>
      <c r="N25" s="4">
        <v>26</v>
      </c>
      <c r="O25" s="4"/>
    </row>
    <row r="26" spans="1:15" x14ac:dyDescent="0.25">
      <c r="A26" s="2" t="s">
        <v>99</v>
      </c>
      <c r="B26" s="2" t="s">
        <v>100</v>
      </c>
      <c r="C26" s="2" t="s">
        <v>9</v>
      </c>
      <c r="D26" s="2">
        <v>4.8</v>
      </c>
      <c r="E26" s="2">
        <v>11089</v>
      </c>
      <c r="F26" s="2" t="s">
        <v>10</v>
      </c>
      <c r="G26" s="2" t="s">
        <v>101</v>
      </c>
      <c r="H26" s="2">
        <v>5.48</v>
      </c>
      <c r="I26" s="2" t="s">
        <v>102</v>
      </c>
      <c r="J26" s="2">
        <v>240</v>
      </c>
      <c r="K26" s="3">
        <v>45013</v>
      </c>
      <c r="L26" s="2" t="s">
        <v>103</v>
      </c>
      <c r="M26" s="2">
        <v>25</v>
      </c>
      <c r="N26" s="2">
        <v>28</v>
      </c>
      <c r="O26" s="2"/>
    </row>
    <row r="27" spans="1:15" x14ac:dyDescent="0.25">
      <c r="A27" s="4" t="s">
        <v>104</v>
      </c>
      <c r="B27" s="4" t="s">
        <v>105</v>
      </c>
      <c r="C27" s="4" t="s">
        <v>20</v>
      </c>
      <c r="D27" s="4">
        <v>4.5</v>
      </c>
      <c r="E27" s="4">
        <v>232211</v>
      </c>
      <c r="F27" s="4" t="s">
        <v>24</v>
      </c>
      <c r="G27" s="4" t="s">
        <v>106</v>
      </c>
      <c r="H27" s="4">
        <v>9.77</v>
      </c>
      <c r="I27" s="4" t="s">
        <v>12</v>
      </c>
      <c r="J27" s="4">
        <v>570</v>
      </c>
      <c r="K27" s="5">
        <v>44573</v>
      </c>
      <c r="L27" s="4" t="s">
        <v>17</v>
      </c>
      <c r="M27" s="4">
        <v>26</v>
      </c>
      <c r="N27" s="4"/>
      <c r="O27" s="4"/>
    </row>
    <row r="28" spans="1:15" x14ac:dyDescent="0.25">
      <c r="A28" s="2" t="s">
        <v>107</v>
      </c>
      <c r="B28" s="2" t="s">
        <v>108</v>
      </c>
      <c r="C28" s="2" t="s">
        <v>32</v>
      </c>
      <c r="D28" s="2">
        <v>4.5999999999999996</v>
      </c>
      <c r="E28" s="2">
        <v>94536</v>
      </c>
      <c r="F28" s="2" t="s">
        <v>10</v>
      </c>
      <c r="G28" s="2" t="s">
        <v>109</v>
      </c>
      <c r="H28" s="2">
        <v>17.96</v>
      </c>
      <c r="I28" s="2" t="s">
        <v>12</v>
      </c>
      <c r="J28" s="2">
        <v>736</v>
      </c>
      <c r="K28" s="3">
        <v>45048</v>
      </c>
      <c r="L28" s="2" t="s">
        <v>17</v>
      </c>
      <c r="M28" s="2">
        <v>27</v>
      </c>
      <c r="N28" s="2"/>
      <c r="O28" s="2"/>
    </row>
    <row r="29" spans="1:15" x14ac:dyDescent="0.25">
      <c r="A29" s="4" t="s">
        <v>110</v>
      </c>
      <c r="B29" s="4" t="s">
        <v>111</v>
      </c>
      <c r="C29" s="4" t="s">
        <v>57</v>
      </c>
      <c r="D29" s="4">
        <v>4.9000000000000004</v>
      </c>
      <c r="E29" s="4">
        <v>55794</v>
      </c>
      <c r="F29" s="4" t="s">
        <v>58</v>
      </c>
      <c r="G29" s="4" t="s">
        <v>112</v>
      </c>
      <c r="H29" s="4">
        <v>4.82</v>
      </c>
      <c r="I29" s="4" t="s">
        <v>60</v>
      </c>
      <c r="J29" s="4">
        <v>24</v>
      </c>
      <c r="K29" s="5">
        <v>35323</v>
      </c>
      <c r="L29" s="4" t="s">
        <v>61</v>
      </c>
      <c r="M29" s="4">
        <v>28</v>
      </c>
      <c r="N29" s="4">
        <v>36</v>
      </c>
      <c r="O29" s="4">
        <v>37</v>
      </c>
    </row>
    <row r="30" spans="1:15" x14ac:dyDescent="0.25">
      <c r="A30" s="2" t="s">
        <v>113</v>
      </c>
      <c r="B30" s="2" t="s">
        <v>114</v>
      </c>
      <c r="C30" s="2" t="s">
        <v>57</v>
      </c>
      <c r="D30" s="2">
        <v>4.9000000000000004</v>
      </c>
      <c r="E30" s="2">
        <v>13217</v>
      </c>
      <c r="F30" s="2" t="s">
        <v>10</v>
      </c>
      <c r="G30" s="2" t="s">
        <v>115</v>
      </c>
      <c r="H30" s="2">
        <v>16.78</v>
      </c>
      <c r="I30" s="2" t="s">
        <v>12</v>
      </c>
      <c r="J30" s="2">
        <v>256</v>
      </c>
      <c r="K30" s="3">
        <v>45132</v>
      </c>
      <c r="L30" s="2" t="s">
        <v>116</v>
      </c>
      <c r="M30" s="2">
        <v>29</v>
      </c>
      <c r="N30" s="2"/>
      <c r="O30" s="2"/>
    </row>
    <row r="31" spans="1:15" x14ac:dyDescent="0.25">
      <c r="A31" s="4" t="s">
        <v>117</v>
      </c>
      <c r="B31" s="4" t="s">
        <v>118</v>
      </c>
      <c r="C31" s="4" t="s">
        <v>57</v>
      </c>
      <c r="D31" s="4">
        <v>4.9000000000000004</v>
      </c>
      <c r="E31" s="4">
        <v>14622</v>
      </c>
      <c r="F31" s="4" t="s">
        <v>58</v>
      </c>
      <c r="G31" s="4" t="s">
        <v>119</v>
      </c>
      <c r="H31" s="4">
        <v>5.37</v>
      </c>
      <c r="I31" s="4" t="s">
        <v>98</v>
      </c>
      <c r="J31" s="4">
        <v>24</v>
      </c>
      <c r="K31" s="5">
        <v>43837</v>
      </c>
      <c r="L31" s="4" t="s">
        <v>61</v>
      </c>
      <c r="M31" s="4">
        <v>30</v>
      </c>
      <c r="N31" s="4">
        <v>43</v>
      </c>
      <c r="O31" s="4">
        <v>30</v>
      </c>
    </row>
    <row r="32" spans="1:15" x14ac:dyDescent="0.25">
      <c r="A32" s="2" t="s">
        <v>120</v>
      </c>
      <c r="B32" s="2" t="s">
        <v>121</v>
      </c>
      <c r="C32" s="2" t="s">
        <v>20</v>
      </c>
      <c r="D32" s="2">
        <v>4.5</v>
      </c>
      <c r="E32" s="2">
        <v>60311</v>
      </c>
      <c r="F32" s="2" t="s">
        <v>10</v>
      </c>
      <c r="G32" s="2" t="s">
        <v>122</v>
      </c>
      <c r="H32" s="2">
        <v>10.83</v>
      </c>
      <c r="I32" s="2" t="s">
        <v>12</v>
      </c>
      <c r="J32" s="2">
        <v>272</v>
      </c>
      <c r="K32" s="3">
        <v>44866</v>
      </c>
      <c r="L32" s="2" t="s">
        <v>123</v>
      </c>
      <c r="M32" s="2">
        <v>31</v>
      </c>
      <c r="N32" s="2"/>
      <c r="O32" s="2"/>
    </row>
    <row r="33" spans="1:15" x14ac:dyDescent="0.25">
      <c r="A33" s="4" t="s">
        <v>124</v>
      </c>
      <c r="B33" s="4" t="s">
        <v>125</v>
      </c>
      <c r="C33" s="4" t="s">
        <v>15</v>
      </c>
      <c r="D33" s="4">
        <v>4.7</v>
      </c>
      <c r="E33" s="4">
        <v>106198</v>
      </c>
      <c r="F33" s="4" t="s">
        <v>24</v>
      </c>
      <c r="G33" s="4" t="s">
        <v>126</v>
      </c>
      <c r="H33" s="4">
        <v>7.34</v>
      </c>
      <c r="I33" s="4" t="s">
        <v>12</v>
      </c>
      <c r="J33" s="4">
        <v>336</v>
      </c>
      <c r="K33" s="5">
        <v>44656</v>
      </c>
      <c r="L33" s="4" t="s">
        <v>127</v>
      </c>
      <c r="M33" s="4">
        <v>32</v>
      </c>
      <c r="N33" s="4"/>
      <c r="O33" s="4"/>
    </row>
    <row r="34" spans="1:15" x14ac:dyDescent="0.25">
      <c r="A34" s="2" t="s">
        <v>128</v>
      </c>
      <c r="B34" s="2" t="s">
        <v>63</v>
      </c>
      <c r="C34" s="2" t="s">
        <v>28</v>
      </c>
      <c r="D34" s="2">
        <v>4.4000000000000004</v>
      </c>
      <c r="E34" s="2">
        <v>39574</v>
      </c>
      <c r="F34" s="2" t="s">
        <v>10</v>
      </c>
      <c r="G34" s="2" t="s">
        <v>129</v>
      </c>
      <c r="H34" s="2">
        <v>14.47</v>
      </c>
      <c r="I34" s="2" t="s">
        <v>130</v>
      </c>
      <c r="J34" s="2">
        <v>352</v>
      </c>
      <c r="K34" s="3">
        <v>45034</v>
      </c>
      <c r="L34" s="2" t="s">
        <v>22</v>
      </c>
      <c r="M34" s="2">
        <v>33</v>
      </c>
      <c r="N34" s="2"/>
      <c r="O34" s="2"/>
    </row>
    <row r="35" spans="1:15" x14ac:dyDescent="0.25">
      <c r="A35" s="4" t="s">
        <v>131</v>
      </c>
      <c r="B35" s="4" t="s">
        <v>132</v>
      </c>
      <c r="C35" s="4" t="s">
        <v>57</v>
      </c>
      <c r="D35" s="4">
        <v>4.9000000000000004</v>
      </c>
      <c r="E35" s="4">
        <v>53602</v>
      </c>
      <c r="F35" s="4" t="s">
        <v>10</v>
      </c>
      <c r="G35" s="4" t="s">
        <v>133</v>
      </c>
      <c r="H35" s="4">
        <v>8.64</v>
      </c>
      <c r="I35" s="4" t="s">
        <v>134</v>
      </c>
      <c r="J35" s="4">
        <v>56</v>
      </c>
      <c r="K35" s="5">
        <v>32895</v>
      </c>
      <c r="L35" s="4" t="s">
        <v>61</v>
      </c>
      <c r="M35" s="4">
        <v>34</v>
      </c>
      <c r="N35" s="4">
        <v>41</v>
      </c>
      <c r="O35" s="4"/>
    </row>
    <row r="36" spans="1:15" x14ac:dyDescent="0.25">
      <c r="A36" s="2" t="s">
        <v>135</v>
      </c>
      <c r="B36" s="2" t="s">
        <v>136</v>
      </c>
      <c r="C36" s="2" t="s">
        <v>32</v>
      </c>
      <c r="D36" s="2">
        <v>4.5999999999999996</v>
      </c>
      <c r="E36" s="2">
        <v>88321</v>
      </c>
      <c r="F36" s="2" t="s">
        <v>58</v>
      </c>
      <c r="G36" s="2" t="s">
        <v>137</v>
      </c>
      <c r="H36" s="2">
        <v>14.99</v>
      </c>
      <c r="I36" s="2" t="s">
        <v>60</v>
      </c>
      <c r="J36" s="2">
        <v>220</v>
      </c>
      <c r="K36" s="3">
        <v>43215</v>
      </c>
      <c r="L36" s="2" t="s">
        <v>61</v>
      </c>
      <c r="M36" s="2">
        <v>35</v>
      </c>
      <c r="N36" s="2">
        <v>37</v>
      </c>
      <c r="O36" s="2">
        <v>13</v>
      </c>
    </row>
    <row r="37" spans="1:15" x14ac:dyDescent="0.25">
      <c r="A37" s="4" t="s">
        <v>138</v>
      </c>
      <c r="B37" s="4" t="s">
        <v>139</v>
      </c>
      <c r="C37" s="4" t="s">
        <v>140</v>
      </c>
      <c r="D37" s="4">
        <v>4.2</v>
      </c>
      <c r="E37" s="4">
        <v>60754</v>
      </c>
      <c r="F37" s="4" t="s">
        <v>24</v>
      </c>
      <c r="G37" s="4" t="s">
        <v>141</v>
      </c>
      <c r="H37" s="4">
        <v>6.88</v>
      </c>
      <c r="I37" s="4" t="s">
        <v>12</v>
      </c>
      <c r="J37" s="4">
        <v>400</v>
      </c>
      <c r="K37" s="5">
        <v>43770</v>
      </c>
      <c r="L37" s="4" t="s">
        <v>17</v>
      </c>
      <c r="M37" s="4">
        <v>36</v>
      </c>
      <c r="N37" s="4">
        <v>79</v>
      </c>
      <c r="O37" s="4"/>
    </row>
    <row r="38" spans="1:15" x14ac:dyDescent="0.25">
      <c r="A38" s="2" t="s">
        <v>142</v>
      </c>
      <c r="B38" s="2" t="s">
        <v>143</v>
      </c>
      <c r="C38" s="2" t="s">
        <v>57</v>
      </c>
      <c r="D38" s="2">
        <v>4.9000000000000004</v>
      </c>
      <c r="E38" s="2">
        <v>31124</v>
      </c>
      <c r="F38" s="2" t="s">
        <v>58</v>
      </c>
      <c r="G38" s="2" t="s">
        <v>144</v>
      </c>
      <c r="H38" s="2">
        <v>1.89</v>
      </c>
      <c r="I38" s="2" t="s">
        <v>98</v>
      </c>
      <c r="J38" s="2">
        <v>34</v>
      </c>
      <c r="K38" s="3">
        <v>33452</v>
      </c>
      <c r="L38" s="2" t="s">
        <v>77</v>
      </c>
      <c r="M38" s="2">
        <v>37</v>
      </c>
      <c r="N38" s="2"/>
      <c r="O38" s="2">
        <v>81</v>
      </c>
    </row>
    <row r="39" spans="1:15" x14ac:dyDescent="0.25">
      <c r="A39" s="4" t="s">
        <v>145</v>
      </c>
      <c r="B39" s="4" t="s">
        <v>146</v>
      </c>
      <c r="C39" s="4" t="s">
        <v>28</v>
      </c>
      <c r="D39" s="4">
        <v>4.4000000000000004</v>
      </c>
      <c r="E39" s="4">
        <v>129310</v>
      </c>
      <c r="F39" s="4" t="s">
        <v>10</v>
      </c>
      <c r="G39" s="4" t="s">
        <v>147</v>
      </c>
      <c r="H39" s="4">
        <v>13.28</v>
      </c>
      <c r="I39" s="4" t="s">
        <v>12</v>
      </c>
      <c r="J39" s="4">
        <v>416</v>
      </c>
      <c r="K39" s="5">
        <v>44747</v>
      </c>
      <c r="L39" s="4" t="s">
        <v>17</v>
      </c>
      <c r="M39" s="4">
        <v>38</v>
      </c>
      <c r="N39" s="4"/>
      <c r="O39" s="4"/>
    </row>
    <row r="40" spans="1:15" x14ac:dyDescent="0.25">
      <c r="A40" s="2" t="s">
        <v>148</v>
      </c>
      <c r="B40" s="2" t="s">
        <v>149</v>
      </c>
      <c r="C40" s="2" t="s">
        <v>9</v>
      </c>
      <c r="D40" s="2">
        <v>4.8</v>
      </c>
      <c r="E40" s="2">
        <v>26464</v>
      </c>
      <c r="F40" s="2" t="s">
        <v>10</v>
      </c>
      <c r="G40" s="2" t="s">
        <v>21</v>
      </c>
      <c r="H40" s="2">
        <v>11.99</v>
      </c>
      <c r="I40" s="2" t="s">
        <v>60</v>
      </c>
      <c r="J40" s="2">
        <v>24</v>
      </c>
      <c r="K40" s="3">
        <v>41305</v>
      </c>
      <c r="L40" s="2" t="s">
        <v>61</v>
      </c>
      <c r="M40" s="2">
        <v>39</v>
      </c>
      <c r="N40" s="2">
        <v>31</v>
      </c>
      <c r="O40" s="2"/>
    </row>
    <row r="41" spans="1:15" x14ac:dyDescent="0.25">
      <c r="A41" s="4" t="s">
        <v>150</v>
      </c>
      <c r="B41" s="4" t="s">
        <v>151</v>
      </c>
      <c r="C41" s="4" t="s">
        <v>57</v>
      </c>
      <c r="D41" s="4">
        <v>4.9000000000000004</v>
      </c>
      <c r="E41" s="4">
        <v>32274</v>
      </c>
      <c r="F41" s="4" t="s">
        <v>10</v>
      </c>
      <c r="G41" s="4" t="s">
        <v>152</v>
      </c>
      <c r="H41" s="4">
        <v>9.4499999999999993</v>
      </c>
      <c r="I41" s="4" t="s">
        <v>153</v>
      </c>
      <c r="J41" s="4">
        <v>36</v>
      </c>
      <c r="K41" s="5">
        <v>42241</v>
      </c>
      <c r="L41" s="4" t="s">
        <v>61</v>
      </c>
      <c r="M41" s="4">
        <v>40</v>
      </c>
      <c r="N41" s="4">
        <v>70</v>
      </c>
      <c r="O41" s="4">
        <v>77</v>
      </c>
    </row>
    <row r="42" spans="1:15" x14ac:dyDescent="0.25">
      <c r="A42" s="2" t="s">
        <v>154</v>
      </c>
      <c r="B42" s="2" t="s">
        <v>14</v>
      </c>
      <c r="C42" s="2" t="s">
        <v>32</v>
      </c>
      <c r="D42" s="2">
        <v>4.5999999999999996</v>
      </c>
      <c r="E42" s="2">
        <v>5028</v>
      </c>
      <c r="F42" s="2" t="s">
        <v>10</v>
      </c>
      <c r="G42" s="2" t="s">
        <v>155</v>
      </c>
      <c r="H42" s="2">
        <v>26.91</v>
      </c>
      <c r="I42" s="2" t="s">
        <v>12</v>
      </c>
      <c r="J42" s="2">
        <v>528</v>
      </c>
      <c r="K42" s="3">
        <v>45237</v>
      </c>
      <c r="L42" s="2" t="s">
        <v>17</v>
      </c>
      <c r="M42" s="2">
        <v>41</v>
      </c>
      <c r="N42" s="2"/>
      <c r="O42" s="2"/>
    </row>
    <row r="43" spans="1:15" x14ac:dyDescent="0.25">
      <c r="A43" s="4" t="s">
        <v>156</v>
      </c>
      <c r="B43" s="4" t="s">
        <v>157</v>
      </c>
      <c r="C43" s="4" t="s">
        <v>28</v>
      </c>
      <c r="D43" s="4">
        <v>4.4000000000000004</v>
      </c>
      <c r="E43" s="4">
        <v>398561</v>
      </c>
      <c r="F43" s="4" t="s">
        <v>24</v>
      </c>
      <c r="G43" s="4" t="s">
        <v>158</v>
      </c>
      <c r="H43" s="4">
        <v>2.39</v>
      </c>
      <c r="I43" s="4" t="s">
        <v>12</v>
      </c>
      <c r="J43" s="4">
        <v>368</v>
      </c>
      <c r="K43" s="5">
        <v>44320</v>
      </c>
      <c r="L43" s="4" t="s">
        <v>54</v>
      </c>
      <c r="M43" s="4">
        <v>42</v>
      </c>
      <c r="N43" s="4">
        <v>97</v>
      </c>
      <c r="O43" s="4"/>
    </row>
    <row r="44" spans="1:15" x14ac:dyDescent="0.25">
      <c r="A44" s="2" t="s">
        <v>159</v>
      </c>
      <c r="B44" s="2" t="s">
        <v>160</v>
      </c>
      <c r="C44" s="2" t="s">
        <v>32</v>
      </c>
      <c r="D44" s="2">
        <v>4.5999999999999996</v>
      </c>
      <c r="E44" s="2">
        <v>129211</v>
      </c>
      <c r="F44" s="2" t="s">
        <v>58</v>
      </c>
      <c r="G44" s="2" t="s">
        <v>161</v>
      </c>
      <c r="H44" s="2">
        <v>14.53</v>
      </c>
      <c r="I44" s="2" t="s">
        <v>12</v>
      </c>
      <c r="J44" s="2">
        <v>368</v>
      </c>
      <c r="K44" s="3">
        <v>44684</v>
      </c>
      <c r="L44" s="2" t="s">
        <v>54</v>
      </c>
      <c r="M44" s="2">
        <v>43</v>
      </c>
      <c r="N44" s="2">
        <v>45</v>
      </c>
      <c r="O44" s="2"/>
    </row>
    <row r="45" spans="1:15" x14ac:dyDescent="0.25">
      <c r="A45" s="4" t="s">
        <v>162</v>
      </c>
      <c r="B45" s="4" t="s">
        <v>163</v>
      </c>
      <c r="C45" s="4" t="s">
        <v>15</v>
      </c>
      <c r="D45" s="4">
        <v>4.7</v>
      </c>
      <c r="E45" s="4">
        <v>68563</v>
      </c>
      <c r="F45" s="4" t="s">
        <v>24</v>
      </c>
      <c r="G45" s="4" t="s">
        <v>164</v>
      </c>
      <c r="H45" s="4">
        <v>14.18</v>
      </c>
      <c r="I45" s="4" t="s">
        <v>12</v>
      </c>
      <c r="J45" s="4">
        <v>256</v>
      </c>
      <c r="K45" s="5">
        <v>44082</v>
      </c>
      <c r="L45" s="4" t="s">
        <v>127</v>
      </c>
      <c r="M45" s="4">
        <v>44</v>
      </c>
      <c r="N45" s="4">
        <v>25</v>
      </c>
      <c r="O45" s="4">
        <v>23</v>
      </c>
    </row>
    <row r="46" spans="1:15" x14ac:dyDescent="0.25">
      <c r="A46" s="2" t="s">
        <v>165</v>
      </c>
      <c r="B46" s="2" t="s">
        <v>166</v>
      </c>
      <c r="C46" s="2" t="s">
        <v>15</v>
      </c>
      <c r="D46" s="2">
        <v>4.7</v>
      </c>
      <c r="E46" s="2">
        <v>6331</v>
      </c>
      <c r="F46" s="2" t="s">
        <v>24</v>
      </c>
      <c r="G46" s="2" t="s">
        <v>167</v>
      </c>
      <c r="H46" s="2">
        <v>23.66</v>
      </c>
      <c r="I46" s="2" t="s">
        <v>12</v>
      </c>
      <c r="J46" s="2">
        <v>138</v>
      </c>
      <c r="K46" s="3">
        <v>44502</v>
      </c>
      <c r="L46" s="2" t="s">
        <v>42</v>
      </c>
      <c r="M46" s="2">
        <v>45</v>
      </c>
      <c r="N46" s="2"/>
      <c r="O46" s="2"/>
    </row>
    <row r="47" spans="1:15" x14ac:dyDescent="0.25">
      <c r="A47" s="4" t="s">
        <v>168</v>
      </c>
      <c r="B47" s="4" t="s">
        <v>169</v>
      </c>
      <c r="C47" s="4" t="s">
        <v>9</v>
      </c>
      <c r="D47" s="4">
        <v>4.8</v>
      </c>
      <c r="E47" s="4">
        <v>17084</v>
      </c>
      <c r="F47" s="4" t="s">
        <v>10</v>
      </c>
      <c r="G47" s="4" t="s">
        <v>170</v>
      </c>
      <c r="H47" s="4">
        <v>14.78</v>
      </c>
      <c r="I47" s="4" t="s">
        <v>12</v>
      </c>
      <c r="J47" s="4">
        <v>384</v>
      </c>
      <c r="K47" s="5">
        <v>45265</v>
      </c>
      <c r="L47" s="4" t="s">
        <v>22</v>
      </c>
      <c r="M47" s="4">
        <v>46</v>
      </c>
      <c r="N47" s="4"/>
      <c r="O47" s="4"/>
    </row>
    <row r="48" spans="1:15" x14ac:dyDescent="0.25">
      <c r="A48" s="2" t="s">
        <v>171</v>
      </c>
      <c r="B48" s="2" t="s">
        <v>172</v>
      </c>
      <c r="C48" s="2" t="s">
        <v>9</v>
      </c>
      <c r="D48" s="2">
        <v>4.8</v>
      </c>
      <c r="E48" s="2">
        <v>9137</v>
      </c>
      <c r="F48" s="2" t="s">
        <v>24</v>
      </c>
      <c r="G48" s="2" t="s">
        <v>173</v>
      </c>
      <c r="H48" s="2">
        <v>2.7</v>
      </c>
      <c r="I48" s="2" t="s">
        <v>174</v>
      </c>
      <c r="J48" s="2">
        <v>32</v>
      </c>
      <c r="K48" s="3">
        <v>44586</v>
      </c>
      <c r="L48" s="2" t="s">
        <v>77</v>
      </c>
      <c r="M48" s="2">
        <v>47</v>
      </c>
      <c r="N48" s="2">
        <v>60</v>
      </c>
      <c r="O48" s="2">
        <v>94</v>
      </c>
    </row>
    <row r="49" spans="1:15" x14ac:dyDescent="0.25">
      <c r="A49" s="4" t="s">
        <v>175</v>
      </c>
      <c r="B49" s="4" t="s">
        <v>176</v>
      </c>
      <c r="C49" s="4" t="s">
        <v>140</v>
      </c>
      <c r="D49" s="4">
        <v>4.2</v>
      </c>
      <c r="E49" s="4">
        <v>142671</v>
      </c>
      <c r="F49" s="4" t="s">
        <v>24</v>
      </c>
      <c r="G49" s="4" t="s">
        <v>64</v>
      </c>
      <c r="H49" s="4">
        <v>9.99</v>
      </c>
      <c r="I49" s="4" t="s">
        <v>12</v>
      </c>
      <c r="J49" s="4">
        <v>352</v>
      </c>
      <c r="K49" s="5">
        <v>44831</v>
      </c>
      <c r="L49" s="4" t="s">
        <v>17</v>
      </c>
      <c r="M49" s="4">
        <v>48</v>
      </c>
      <c r="N49" s="4"/>
      <c r="O49" s="4"/>
    </row>
    <row r="50" spans="1:15" x14ac:dyDescent="0.25">
      <c r="A50" s="2" t="s">
        <v>177</v>
      </c>
      <c r="B50" s="2" t="s">
        <v>178</v>
      </c>
      <c r="C50" s="2" t="s">
        <v>179</v>
      </c>
      <c r="D50" s="2">
        <v>4.3</v>
      </c>
      <c r="E50" s="2">
        <v>113454</v>
      </c>
      <c r="F50" s="2" t="s">
        <v>24</v>
      </c>
      <c r="G50" s="2" t="s">
        <v>180</v>
      </c>
      <c r="H50" s="2">
        <v>9.4</v>
      </c>
      <c r="I50" s="2" t="s">
        <v>12</v>
      </c>
      <c r="J50" s="2">
        <v>448</v>
      </c>
      <c r="K50" s="3">
        <v>44964</v>
      </c>
      <c r="L50" s="2" t="s">
        <v>17</v>
      </c>
      <c r="M50" s="2">
        <v>49</v>
      </c>
      <c r="N50" s="2"/>
      <c r="O50" s="2"/>
    </row>
    <row r="51" spans="1:15" x14ac:dyDescent="0.25">
      <c r="A51" s="4" t="s">
        <v>181</v>
      </c>
      <c r="B51" s="4" t="s">
        <v>105</v>
      </c>
      <c r="C51" s="4" t="s">
        <v>28</v>
      </c>
      <c r="D51" s="4">
        <v>4.4000000000000004</v>
      </c>
      <c r="E51" s="4">
        <v>119095</v>
      </c>
      <c r="F51" s="4" t="s">
        <v>24</v>
      </c>
      <c r="G51" s="4" t="s">
        <v>182</v>
      </c>
      <c r="H51" s="4">
        <v>9.9499999999999993</v>
      </c>
      <c r="I51" s="4" t="s">
        <v>12</v>
      </c>
      <c r="J51" s="4">
        <v>592</v>
      </c>
      <c r="K51" s="5">
        <v>44978</v>
      </c>
      <c r="L51" s="4" t="s">
        <v>17</v>
      </c>
      <c r="M51" s="4">
        <v>50</v>
      </c>
      <c r="N51" s="4"/>
      <c r="O51" s="4"/>
    </row>
    <row r="52" spans="1:15" x14ac:dyDescent="0.25">
      <c r="A52" s="2" t="s">
        <v>183</v>
      </c>
      <c r="B52" s="2" t="s">
        <v>44</v>
      </c>
      <c r="C52" s="2" t="s">
        <v>15</v>
      </c>
      <c r="D52" s="2">
        <v>4.7</v>
      </c>
      <c r="E52" s="2">
        <v>347742</v>
      </c>
      <c r="F52" s="2" t="s">
        <v>24</v>
      </c>
      <c r="G52" s="2" t="s">
        <v>50</v>
      </c>
      <c r="H52" s="2">
        <v>9.0299999999999994</v>
      </c>
      <c r="I52" s="2" t="s">
        <v>12</v>
      </c>
      <c r="J52" s="2">
        <v>335</v>
      </c>
      <c r="K52" s="3">
        <v>44579</v>
      </c>
      <c r="L52" s="2" t="s">
        <v>17</v>
      </c>
      <c r="M52" s="2">
        <v>51</v>
      </c>
      <c r="N52" s="2"/>
      <c r="O52" s="2"/>
    </row>
    <row r="53" spans="1:15" x14ac:dyDescent="0.25">
      <c r="A53" s="4" t="s">
        <v>184</v>
      </c>
      <c r="B53" s="4" t="s">
        <v>85</v>
      </c>
      <c r="C53" s="4" t="s">
        <v>9</v>
      </c>
      <c r="D53" s="4">
        <v>4.8</v>
      </c>
      <c r="E53" s="4">
        <v>287325</v>
      </c>
      <c r="F53" s="4" t="s">
        <v>24</v>
      </c>
      <c r="G53" s="4" t="s">
        <v>185</v>
      </c>
      <c r="H53" s="4">
        <v>12.16</v>
      </c>
      <c r="I53" s="4" t="s">
        <v>12</v>
      </c>
      <c r="J53" s="4">
        <v>656</v>
      </c>
      <c r="K53" s="5">
        <v>43984</v>
      </c>
      <c r="L53" s="4" t="s">
        <v>17</v>
      </c>
      <c r="M53" s="4">
        <v>52</v>
      </c>
      <c r="N53" s="4">
        <v>32</v>
      </c>
      <c r="O53" s="4"/>
    </row>
    <row r="54" spans="1:15" x14ac:dyDescent="0.25">
      <c r="A54" s="2" t="s">
        <v>186</v>
      </c>
      <c r="B54" s="2" t="s">
        <v>187</v>
      </c>
      <c r="C54" s="2" t="s">
        <v>9</v>
      </c>
      <c r="D54" s="2">
        <v>4.8</v>
      </c>
      <c r="E54" s="2">
        <v>7876</v>
      </c>
      <c r="F54" s="2" t="s">
        <v>10</v>
      </c>
      <c r="G54" s="2" t="s">
        <v>188</v>
      </c>
      <c r="H54" s="2">
        <v>20.190000000000001</v>
      </c>
      <c r="I54" s="2" t="s">
        <v>12</v>
      </c>
      <c r="J54" s="2">
        <v>496</v>
      </c>
      <c r="K54" s="3">
        <v>45114</v>
      </c>
      <c r="L54" s="2" t="s">
        <v>189</v>
      </c>
      <c r="M54" s="2">
        <v>53</v>
      </c>
      <c r="N54" s="2"/>
      <c r="O54" s="2"/>
    </row>
    <row r="55" spans="1:15" x14ac:dyDescent="0.25">
      <c r="A55" s="4" t="s">
        <v>190</v>
      </c>
      <c r="B55" s="4" t="s">
        <v>191</v>
      </c>
      <c r="C55" s="4" t="s">
        <v>15</v>
      </c>
      <c r="D55" s="4">
        <v>4.7</v>
      </c>
      <c r="E55" s="4">
        <v>22689</v>
      </c>
      <c r="F55" s="4" t="s">
        <v>10</v>
      </c>
      <c r="G55" s="4" t="s">
        <v>192</v>
      </c>
      <c r="H55" s="4">
        <v>19.93</v>
      </c>
      <c r="I55" s="4" t="s">
        <v>12</v>
      </c>
      <c r="J55" s="4">
        <v>688</v>
      </c>
      <c r="K55" s="5">
        <v>45181</v>
      </c>
      <c r="L55" s="4" t="s">
        <v>22</v>
      </c>
      <c r="M55" s="4">
        <v>54</v>
      </c>
      <c r="N55" s="4"/>
      <c r="O55" s="4"/>
    </row>
    <row r="56" spans="1:15" x14ac:dyDescent="0.25">
      <c r="A56" s="2" t="s">
        <v>193</v>
      </c>
      <c r="B56" s="2" t="s">
        <v>194</v>
      </c>
      <c r="C56" s="2" t="s">
        <v>32</v>
      </c>
      <c r="D56" s="2">
        <v>4.5999999999999996</v>
      </c>
      <c r="E56" s="2">
        <v>23034</v>
      </c>
      <c r="F56" s="2" t="s">
        <v>24</v>
      </c>
      <c r="G56" s="2" t="s">
        <v>195</v>
      </c>
      <c r="H56" s="2">
        <v>10.17</v>
      </c>
      <c r="I56" s="2" t="s">
        <v>12</v>
      </c>
      <c r="J56" s="2">
        <v>352</v>
      </c>
      <c r="K56" s="3">
        <v>43599</v>
      </c>
      <c r="L56" s="2" t="s">
        <v>127</v>
      </c>
      <c r="M56" s="2">
        <v>55</v>
      </c>
      <c r="N56" s="2"/>
      <c r="O56" s="2"/>
    </row>
    <row r="57" spans="1:15" x14ac:dyDescent="0.25">
      <c r="A57" s="4" t="s">
        <v>196</v>
      </c>
      <c r="B57" s="4" t="s">
        <v>197</v>
      </c>
      <c r="C57" s="4" t="s">
        <v>28</v>
      </c>
      <c r="D57" s="4">
        <v>4.4000000000000004</v>
      </c>
      <c r="E57" s="4">
        <v>163368</v>
      </c>
      <c r="F57" s="4" t="s">
        <v>24</v>
      </c>
      <c r="G57" s="4" t="s">
        <v>198</v>
      </c>
      <c r="H57" s="4">
        <v>17.18</v>
      </c>
      <c r="I57" s="4" t="s">
        <v>12</v>
      </c>
      <c r="J57" s="4">
        <v>627</v>
      </c>
      <c r="K57" s="5">
        <v>44421</v>
      </c>
      <c r="L57" s="4" t="s">
        <v>54</v>
      </c>
      <c r="M57" s="4">
        <v>56</v>
      </c>
      <c r="N57" s="4">
        <v>87</v>
      </c>
      <c r="O57" s="4"/>
    </row>
    <row r="58" spans="1:15" x14ac:dyDescent="0.25">
      <c r="A58" s="2" t="s">
        <v>199</v>
      </c>
      <c r="B58" s="2" t="s">
        <v>200</v>
      </c>
      <c r="C58" s="2" t="s">
        <v>9</v>
      </c>
      <c r="D58" s="2">
        <v>4.8</v>
      </c>
      <c r="E58" s="2">
        <v>18031</v>
      </c>
      <c r="F58" s="2" t="s">
        <v>10</v>
      </c>
      <c r="G58" s="2" t="s">
        <v>201</v>
      </c>
      <c r="H58" s="2">
        <v>5.6</v>
      </c>
      <c r="I58" s="2" t="s">
        <v>153</v>
      </c>
      <c r="J58" s="2">
        <v>40</v>
      </c>
      <c r="K58" s="3">
        <v>43711</v>
      </c>
      <c r="L58" s="2" t="s">
        <v>61</v>
      </c>
      <c r="M58" s="2">
        <v>57</v>
      </c>
      <c r="N58" s="2"/>
      <c r="O58" s="2"/>
    </row>
    <row r="59" spans="1:15" x14ac:dyDescent="0.25">
      <c r="A59" s="4" t="s">
        <v>202</v>
      </c>
      <c r="B59" s="4" t="s">
        <v>44</v>
      </c>
      <c r="C59" s="4" t="s">
        <v>32</v>
      </c>
      <c r="D59" s="4">
        <v>4.5999999999999996</v>
      </c>
      <c r="E59" s="4">
        <v>165631</v>
      </c>
      <c r="F59" s="4" t="s">
        <v>24</v>
      </c>
      <c r="G59" s="4" t="s">
        <v>203</v>
      </c>
      <c r="H59" s="4">
        <v>8.91</v>
      </c>
      <c r="I59" s="4" t="s">
        <v>12</v>
      </c>
      <c r="J59" s="4">
        <v>336</v>
      </c>
      <c r="K59" s="5">
        <v>41856</v>
      </c>
      <c r="L59" s="4" t="s">
        <v>17</v>
      </c>
      <c r="M59" s="4">
        <v>58</v>
      </c>
      <c r="N59" s="4"/>
      <c r="O59" s="4"/>
    </row>
    <row r="60" spans="1:15" x14ac:dyDescent="0.25">
      <c r="A60" s="2" t="s">
        <v>204</v>
      </c>
      <c r="B60" s="2" t="s">
        <v>205</v>
      </c>
      <c r="C60" s="2" t="s">
        <v>9</v>
      </c>
      <c r="D60" s="2">
        <v>4.8</v>
      </c>
      <c r="E60" s="2">
        <v>75734</v>
      </c>
      <c r="F60" s="2" t="s">
        <v>58</v>
      </c>
      <c r="G60" s="2" t="s">
        <v>206</v>
      </c>
      <c r="H60" s="2">
        <v>4.2300000000000004</v>
      </c>
      <c r="I60" s="2" t="s">
        <v>98</v>
      </c>
      <c r="J60" s="2">
        <v>34</v>
      </c>
      <c r="K60" s="3">
        <v>41793</v>
      </c>
      <c r="L60" s="2" t="s">
        <v>61</v>
      </c>
      <c r="M60" s="2">
        <v>59</v>
      </c>
      <c r="N60" s="2"/>
      <c r="O60" s="2"/>
    </row>
    <row r="61" spans="1:15" x14ac:dyDescent="0.25">
      <c r="A61" s="4" t="s">
        <v>207</v>
      </c>
      <c r="B61" s="4" t="s">
        <v>208</v>
      </c>
      <c r="C61" s="4" t="s">
        <v>140</v>
      </c>
      <c r="D61" s="4">
        <v>4.2</v>
      </c>
      <c r="E61" s="4">
        <v>107168</v>
      </c>
      <c r="F61" s="4" t="s">
        <v>10</v>
      </c>
      <c r="G61" s="4" t="s">
        <v>209</v>
      </c>
      <c r="H61" s="4">
        <v>12.29</v>
      </c>
      <c r="I61" s="4" t="s">
        <v>12</v>
      </c>
      <c r="J61" s="4">
        <v>400</v>
      </c>
      <c r="K61" s="5">
        <v>45041</v>
      </c>
      <c r="L61" s="4" t="s">
        <v>17</v>
      </c>
      <c r="M61" s="4">
        <v>60</v>
      </c>
      <c r="N61" s="4"/>
      <c r="O61" s="4"/>
    </row>
    <row r="62" spans="1:15" x14ac:dyDescent="0.25">
      <c r="A62" s="2" t="s">
        <v>210</v>
      </c>
      <c r="B62" s="2" t="s">
        <v>176</v>
      </c>
      <c r="C62" s="2" t="s">
        <v>28</v>
      </c>
      <c r="D62" s="2">
        <v>4.4000000000000004</v>
      </c>
      <c r="E62" s="2">
        <v>108327</v>
      </c>
      <c r="F62" s="2" t="s">
        <v>24</v>
      </c>
      <c r="G62" s="2" t="s">
        <v>211</v>
      </c>
      <c r="H62" s="2">
        <v>9.74</v>
      </c>
      <c r="I62" s="2" t="s">
        <v>12</v>
      </c>
      <c r="J62" s="2">
        <v>448</v>
      </c>
      <c r="K62" s="3">
        <v>44831</v>
      </c>
      <c r="L62" s="2" t="s">
        <v>212</v>
      </c>
      <c r="M62" s="2">
        <v>61</v>
      </c>
      <c r="N62" s="2"/>
      <c r="O62" s="2"/>
    </row>
    <row r="63" spans="1:15" x14ac:dyDescent="0.25">
      <c r="A63" s="4" t="s">
        <v>213</v>
      </c>
      <c r="B63" s="4" t="s">
        <v>214</v>
      </c>
      <c r="C63" s="4" t="s">
        <v>57</v>
      </c>
      <c r="D63" s="4">
        <v>4.9000000000000004</v>
      </c>
      <c r="E63" s="4">
        <v>41314</v>
      </c>
      <c r="F63" s="4" t="s">
        <v>58</v>
      </c>
      <c r="G63" s="4" t="s">
        <v>215</v>
      </c>
      <c r="H63" s="4">
        <v>4.17</v>
      </c>
      <c r="I63" s="4" t="s">
        <v>60</v>
      </c>
      <c r="J63" s="4">
        <v>36</v>
      </c>
      <c r="K63" s="5">
        <v>40909</v>
      </c>
      <c r="L63" s="4" t="s">
        <v>61</v>
      </c>
      <c r="M63" s="4">
        <v>62</v>
      </c>
      <c r="N63" s="4">
        <v>47</v>
      </c>
      <c r="O63" s="4">
        <v>52</v>
      </c>
    </row>
    <row r="64" spans="1:15" x14ac:dyDescent="0.25">
      <c r="A64" s="2" t="s">
        <v>216</v>
      </c>
      <c r="B64" s="2" t="s">
        <v>217</v>
      </c>
      <c r="C64" s="2" t="s">
        <v>28</v>
      </c>
      <c r="D64" s="2">
        <v>4.4000000000000004</v>
      </c>
      <c r="E64" s="2">
        <v>109707</v>
      </c>
      <c r="F64" s="2" t="s">
        <v>10</v>
      </c>
      <c r="G64" s="2" t="s">
        <v>218</v>
      </c>
      <c r="H64" s="2">
        <v>13.97</v>
      </c>
      <c r="I64" s="2" t="s">
        <v>12</v>
      </c>
      <c r="J64" s="2">
        <v>400</v>
      </c>
      <c r="K64" s="3">
        <v>44999</v>
      </c>
      <c r="L64" s="2" t="s">
        <v>17</v>
      </c>
      <c r="M64" s="2">
        <v>63</v>
      </c>
      <c r="N64" s="2"/>
      <c r="O64" s="2"/>
    </row>
    <row r="65" spans="1:15" x14ac:dyDescent="0.25">
      <c r="A65" s="4" t="s">
        <v>219</v>
      </c>
      <c r="B65" s="4" t="s">
        <v>220</v>
      </c>
      <c r="C65" s="4" t="s">
        <v>9</v>
      </c>
      <c r="D65" s="4">
        <v>4.8</v>
      </c>
      <c r="E65" s="4">
        <v>5751</v>
      </c>
      <c r="F65" s="4" t="s">
        <v>10</v>
      </c>
      <c r="G65" s="4" t="s">
        <v>221</v>
      </c>
      <c r="H65" s="4">
        <v>13.47</v>
      </c>
      <c r="I65" s="4" t="s">
        <v>12</v>
      </c>
      <c r="J65" s="4">
        <v>400</v>
      </c>
      <c r="K65" s="5">
        <v>45188</v>
      </c>
      <c r="L65" s="4" t="s">
        <v>37</v>
      </c>
      <c r="M65" s="4">
        <v>64</v>
      </c>
      <c r="N65" s="4"/>
      <c r="O65" s="4"/>
    </row>
    <row r="66" spans="1:15" x14ac:dyDescent="0.25">
      <c r="A66" s="2" t="s">
        <v>222</v>
      </c>
      <c r="B66" s="2" t="s">
        <v>223</v>
      </c>
      <c r="C66" s="2" t="s">
        <v>20</v>
      </c>
      <c r="D66" s="2">
        <v>4.5</v>
      </c>
      <c r="E66" s="2">
        <v>86622</v>
      </c>
      <c r="F66" s="2" t="s">
        <v>24</v>
      </c>
      <c r="G66" s="2" t="s">
        <v>224</v>
      </c>
      <c r="H66" s="2">
        <v>9.25</v>
      </c>
      <c r="I66" s="2" t="s">
        <v>12</v>
      </c>
      <c r="J66" s="2">
        <v>832</v>
      </c>
      <c r="K66" s="3">
        <v>42395</v>
      </c>
      <c r="L66" s="2" t="s">
        <v>17</v>
      </c>
      <c r="M66" s="2">
        <v>65</v>
      </c>
      <c r="N66" s="2"/>
      <c r="O66" s="2"/>
    </row>
    <row r="67" spans="1:15" x14ac:dyDescent="0.25">
      <c r="A67" s="4" t="s">
        <v>225</v>
      </c>
      <c r="B67" s="4" t="s">
        <v>226</v>
      </c>
      <c r="C67" s="4" t="s">
        <v>9</v>
      </c>
      <c r="D67" s="4">
        <v>4.8</v>
      </c>
      <c r="E67" s="4">
        <v>18227</v>
      </c>
      <c r="F67" s="4" t="s">
        <v>24</v>
      </c>
      <c r="G67" s="4" t="s">
        <v>227</v>
      </c>
      <c r="H67" s="4">
        <v>8.18</v>
      </c>
      <c r="I67" s="4" t="s">
        <v>12</v>
      </c>
      <c r="J67" s="4">
        <v>272</v>
      </c>
      <c r="K67" s="5">
        <v>37747</v>
      </c>
      <c r="L67" s="4" t="s">
        <v>37</v>
      </c>
      <c r="M67" s="4">
        <v>66</v>
      </c>
      <c r="N67" s="4"/>
      <c r="O67" s="4"/>
    </row>
    <row r="68" spans="1:15" x14ac:dyDescent="0.25">
      <c r="A68" s="2" t="s">
        <v>228</v>
      </c>
      <c r="B68" s="2" t="s">
        <v>229</v>
      </c>
      <c r="C68" s="2" t="s">
        <v>20</v>
      </c>
      <c r="D68" s="2">
        <v>4.5</v>
      </c>
      <c r="E68" s="2">
        <v>43046</v>
      </c>
      <c r="F68" s="2" t="s">
        <v>10</v>
      </c>
      <c r="G68" s="2" t="s">
        <v>230</v>
      </c>
      <c r="H68" s="2">
        <v>13.98</v>
      </c>
      <c r="I68" s="2" t="s">
        <v>12</v>
      </c>
      <c r="J68" s="2">
        <v>464</v>
      </c>
      <c r="K68" s="3">
        <v>45174</v>
      </c>
      <c r="L68" s="2" t="s">
        <v>54</v>
      </c>
      <c r="M68" s="2">
        <v>67</v>
      </c>
      <c r="N68" s="2"/>
      <c r="O68" s="2"/>
    </row>
    <row r="69" spans="1:15" x14ac:dyDescent="0.25">
      <c r="A69" s="4" t="s">
        <v>231</v>
      </c>
      <c r="B69" s="4" t="s">
        <v>232</v>
      </c>
      <c r="C69" s="4" t="s">
        <v>28</v>
      </c>
      <c r="D69" s="4">
        <v>4.4000000000000004</v>
      </c>
      <c r="E69" s="4">
        <v>73210</v>
      </c>
      <c r="F69" s="4" t="s">
        <v>10</v>
      </c>
      <c r="G69" s="4" t="s">
        <v>233</v>
      </c>
      <c r="H69" s="4">
        <v>15.05</v>
      </c>
      <c r="I69" s="4" t="s">
        <v>12</v>
      </c>
      <c r="J69" s="4">
        <v>400</v>
      </c>
      <c r="K69" s="5">
        <v>45146</v>
      </c>
      <c r="L69" s="4" t="s">
        <v>17</v>
      </c>
      <c r="M69" s="4">
        <v>68</v>
      </c>
      <c r="N69" s="4">
        <v>100</v>
      </c>
      <c r="O69" s="4"/>
    </row>
    <row r="70" spans="1:15" x14ac:dyDescent="0.25">
      <c r="A70" s="2" t="s">
        <v>234</v>
      </c>
      <c r="B70" s="2" t="s">
        <v>235</v>
      </c>
      <c r="C70" s="2" t="s">
        <v>9</v>
      </c>
      <c r="D70" s="2">
        <v>4.8</v>
      </c>
      <c r="E70" s="2">
        <v>32845</v>
      </c>
      <c r="F70" s="2" t="s">
        <v>236</v>
      </c>
      <c r="G70" s="2" t="s">
        <v>237</v>
      </c>
      <c r="H70" s="2">
        <v>3.07</v>
      </c>
      <c r="I70" s="2" t="s">
        <v>238</v>
      </c>
      <c r="J70" s="2"/>
      <c r="K70" s="3">
        <v>43160</v>
      </c>
      <c r="L70" s="2" t="s">
        <v>239</v>
      </c>
      <c r="M70" s="2">
        <v>69</v>
      </c>
      <c r="N70" s="2">
        <v>53</v>
      </c>
      <c r="O70" s="2">
        <v>42</v>
      </c>
    </row>
    <row r="71" spans="1:15" x14ac:dyDescent="0.25">
      <c r="A71" s="4" t="s">
        <v>240</v>
      </c>
      <c r="B71" s="4" t="s">
        <v>241</v>
      </c>
      <c r="C71" s="4" t="s">
        <v>9</v>
      </c>
      <c r="D71" s="4">
        <v>4.8</v>
      </c>
      <c r="E71" s="4">
        <v>29360</v>
      </c>
      <c r="F71" s="4" t="s">
        <v>24</v>
      </c>
      <c r="G71" s="4" t="s">
        <v>242</v>
      </c>
      <c r="H71" s="4">
        <v>8.24</v>
      </c>
      <c r="I71" s="4" t="s">
        <v>12</v>
      </c>
      <c r="J71" s="4">
        <v>320</v>
      </c>
      <c r="K71" s="5">
        <v>39431</v>
      </c>
      <c r="L71" s="4" t="s">
        <v>127</v>
      </c>
      <c r="M71" s="4">
        <v>70</v>
      </c>
      <c r="N71" s="4"/>
      <c r="O71" s="4"/>
    </row>
    <row r="72" spans="1:15" x14ac:dyDescent="0.25">
      <c r="A72" s="2" t="s">
        <v>243</v>
      </c>
      <c r="B72" s="2" t="s">
        <v>68</v>
      </c>
      <c r="C72" s="2" t="s">
        <v>28</v>
      </c>
      <c r="D72" s="2">
        <v>4.4000000000000004</v>
      </c>
      <c r="E72" s="2">
        <v>95715</v>
      </c>
      <c r="F72" s="2" t="s">
        <v>24</v>
      </c>
      <c r="G72" s="2" t="s">
        <v>244</v>
      </c>
      <c r="H72" s="2">
        <v>9.33</v>
      </c>
      <c r="I72" s="2" t="s">
        <v>12</v>
      </c>
      <c r="J72" s="2">
        <v>400</v>
      </c>
      <c r="K72" s="3">
        <v>43865</v>
      </c>
      <c r="L72" s="2" t="s">
        <v>17</v>
      </c>
      <c r="M72" s="2">
        <v>71</v>
      </c>
      <c r="N72" s="2"/>
      <c r="O72" s="2"/>
    </row>
    <row r="73" spans="1:15" x14ac:dyDescent="0.25">
      <c r="A73" s="4" t="s">
        <v>245</v>
      </c>
      <c r="B73" s="4" t="s">
        <v>85</v>
      </c>
      <c r="C73" s="4" t="s">
        <v>9</v>
      </c>
      <c r="D73" s="4">
        <v>4.8</v>
      </c>
      <c r="E73" s="4">
        <v>52380</v>
      </c>
      <c r="F73" s="4" t="s">
        <v>24</v>
      </c>
      <c r="G73" s="4" t="s">
        <v>246</v>
      </c>
      <c r="H73" s="4">
        <v>47.9</v>
      </c>
      <c r="I73" s="4" t="s">
        <v>12</v>
      </c>
      <c r="J73" s="4">
        <v>2896</v>
      </c>
      <c r="K73" s="5">
        <v>44866</v>
      </c>
      <c r="L73" s="4" t="s">
        <v>17</v>
      </c>
      <c r="M73" s="4">
        <v>72</v>
      </c>
      <c r="N73" s="4">
        <v>27</v>
      </c>
      <c r="O73" s="4">
        <v>85</v>
      </c>
    </row>
    <row r="74" spans="1:15" x14ac:dyDescent="0.25">
      <c r="A74" s="2" t="s">
        <v>247</v>
      </c>
      <c r="B74" s="2" t="s">
        <v>248</v>
      </c>
      <c r="C74" s="2" t="s">
        <v>15</v>
      </c>
      <c r="D74" s="2">
        <v>4.7</v>
      </c>
      <c r="E74" s="2">
        <v>109703</v>
      </c>
      <c r="F74" s="2" t="s">
        <v>24</v>
      </c>
      <c r="G74" s="2" t="s">
        <v>249</v>
      </c>
      <c r="H74" s="2">
        <v>15.44</v>
      </c>
      <c r="I74" s="2" t="s">
        <v>12</v>
      </c>
      <c r="J74" s="2">
        <v>320</v>
      </c>
      <c r="K74" s="3">
        <v>36069</v>
      </c>
      <c r="L74" s="2" t="s">
        <v>13</v>
      </c>
      <c r="M74" s="2">
        <v>73</v>
      </c>
      <c r="N74" s="2">
        <v>63</v>
      </c>
      <c r="O74" s="2"/>
    </row>
    <row r="75" spans="1:15" x14ac:dyDescent="0.25">
      <c r="A75" s="4" t="s">
        <v>250</v>
      </c>
      <c r="B75" s="4" t="s">
        <v>251</v>
      </c>
      <c r="C75" s="4" t="s">
        <v>9</v>
      </c>
      <c r="D75" s="4">
        <v>4.8</v>
      </c>
      <c r="E75" s="4">
        <v>25279</v>
      </c>
      <c r="F75" s="4" t="s">
        <v>10</v>
      </c>
      <c r="G75" s="4" t="s">
        <v>180</v>
      </c>
      <c r="H75" s="4">
        <v>9.4</v>
      </c>
      <c r="I75" s="4" t="s">
        <v>94</v>
      </c>
      <c r="J75" s="4">
        <v>208</v>
      </c>
      <c r="K75" s="5">
        <v>43389</v>
      </c>
      <c r="L75" s="4" t="s">
        <v>116</v>
      </c>
      <c r="M75" s="4">
        <v>74</v>
      </c>
      <c r="N75" s="4">
        <v>64</v>
      </c>
      <c r="O75" s="4">
        <v>99</v>
      </c>
    </row>
    <row r="76" spans="1:15" x14ac:dyDescent="0.25">
      <c r="A76" s="2" t="s">
        <v>252</v>
      </c>
      <c r="B76" s="2" t="s">
        <v>253</v>
      </c>
      <c r="C76" s="2" t="s">
        <v>9</v>
      </c>
      <c r="D76" s="2">
        <v>4.8</v>
      </c>
      <c r="E76" s="2">
        <v>127734</v>
      </c>
      <c r="F76" s="2" t="s">
        <v>10</v>
      </c>
      <c r="G76" s="2" t="s">
        <v>254</v>
      </c>
      <c r="H76" s="2">
        <v>17.62</v>
      </c>
      <c r="I76" s="2" t="s">
        <v>102</v>
      </c>
      <c r="J76" s="2">
        <v>128</v>
      </c>
      <c r="K76" s="3">
        <v>43760</v>
      </c>
      <c r="L76" s="2" t="s">
        <v>103</v>
      </c>
      <c r="M76" s="2">
        <v>75</v>
      </c>
      <c r="N76" s="2"/>
      <c r="O76" s="2"/>
    </row>
    <row r="77" spans="1:15" x14ac:dyDescent="0.25">
      <c r="A77" s="4" t="s">
        <v>255</v>
      </c>
      <c r="B77" s="4" t="s">
        <v>256</v>
      </c>
      <c r="C77" s="4" t="s">
        <v>9</v>
      </c>
      <c r="D77" s="4">
        <v>4.8</v>
      </c>
      <c r="E77" s="4">
        <v>104512</v>
      </c>
      <c r="F77" s="4" t="s">
        <v>24</v>
      </c>
      <c r="G77" s="4" t="s">
        <v>257</v>
      </c>
      <c r="H77" s="4">
        <v>24.99</v>
      </c>
      <c r="I77" s="4" t="s">
        <v>12</v>
      </c>
      <c r="J77" s="4">
        <v>364</v>
      </c>
      <c r="K77" s="5">
        <v>43444</v>
      </c>
      <c r="L77" s="4" t="s">
        <v>13</v>
      </c>
      <c r="M77" s="4">
        <v>76</v>
      </c>
      <c r="N77" s="4"/>
      <c r="O77" s="4"/>
    </row>
    <row r="78" spans="1:15" x14ac:dyDescent="0.25">
      <c r="A78" s="2" t="s">
        <v>258</v>
      </c>
      <c r="B78" s="2" t="s">
        <v>259</v>
      </c>
      <c r="C78" s="2" t="s">
        <v>9</v>
      </c>
      <c r="D78" s="2">
        <v>4.8</v>
      </c>
      <c r="E78" s="2">
        <v>14746</v>
      </c>
      <c r="F78" s="2" t="s">
        <v>24</v>
      </c>
      <c r="G78" s="2" t="s">
        <v>260</v>
      </c>
      <c r="H78" s="2">
        <v>24.62</v>
      </c>
      <c r="I78" s="2" t="s">
        <v>261</v>
      </c>
      <c r="J78" s="2">
        <v>928</v>
      </c>
      <c r="K78" s="3">
        <v>41401</v>
      </c>
      <c r="L78" s="2" t="s">
        <v>17</v>
      </c>
      <c r="M78" s="2">
        <v>77</v>
      </c>
      <c r="N78" s="2"/>
      <c r="O78" s="2"/>
    </row>
    <row r="79" spans="1:15" x14ac:dyDescent="0.25">
      <c r="A79" s="4" t="s">
        <v>262</v>
      </c>
      <c r="B79" s="4" t="s">
        <v>263</v>
      </c>
      <c r="C79" s="4" t="s">
        <v>264</v>
      </c>
      <c r="D79" s="4">
        <v>4.0999999999999996</v>
      </c>
      <c r="E79" s="4">
        <v>72785</v>
      </c>
      <c r="F79" s="4" t="s">
        <v>10</v>
      </c>
      <c r="G79" s="4" t="s">
        <v>265</v>
      </c>
      <c r="H79" s="4">
        <v>12.97</v>
      </c>
      <c r="I79" s="4" t="s">
        <v>12</v>
      </c>
      <c r="J79" s="4">
        <v>352</v>
      </c>
      <c r="K79" s="5">
        <v>45216</v>
      </c>
      <c r="L79" s="4" t="s">
        <v>54</v>
      </c>
      <c r="M79" s="4">
        <v>78</v>
      </c>
      <c r="N79" s="4"/>
      <c r="O79" s="4"/>
    </row>
    <row r="80" spans="1:15" x14ac:dyDescent="0.25">
      <c r="A80" s="2" t="s">
        <v>266</v>
      </c>
      <c r="B80" s="2" t="s">
        <v>267</v>
      </c>
      <c r="C80" s="2" t="s">
        <v>9</v>
      </c>
      <c r="D80" s="2">
        <v>4.8</v>
      </c>
      <c r="E80" s="2">
        <v>20638</v>
      </c>
      <c r="F80" s="2" t="s">
        <v>10</v>
      </c>
      <c r="G80" s="2" t="s">
        <v>268</v>
      </c>
      <c r="H80" s="2">
        <v>9.82</v>
      </c>
      <c r="I80" s="2" t="s">
        <v>174</v>
      </c>
      <c r="J80" s="2">
        <v>40</v>
      </c>
      <c r="K80" s="3">
        <v>41074</v>
      </c>
      <c r="L80" s="2" t="s">
        <v>61</v>
      </c>
      <c r="M80" s="2">
        <v>79</v>
      </c>
      <c r="N80" s="2">
        <v>94</v>
      </c>
      <c r="O80" s="2"/>
    </row>
    <row r="81" spans="1:15" x14ac:dyDescent="0.25">
      <c r="A81" s="4" t="s">
        <v>269</v>
      </c>
      <c r="B81" s="4" t="s">
        <v>270</v>
      </c>
      <c r="C81" s="4" t="s">
        <v>15</v>
      </c>
      <c r="D81" s="4">
        <v>4.7</v>
      </c>
      <c r="E81" s="4">
        <v>396005</v>
      </c>
      <c r="F81" s="4" t="s">
        <v>24</v>
      </c>
      <c r="G81" s="4" t="s">
        <v>271</v>
      </c>
      <c r="H81" s="4">
        <v>13.48</v>
      </c>
      <c r="I81" s="4" t="s">
        <v>12</v>
      </c>
      <c r="J81" s="4">
        <v>608</v>
      </c>
      <c r="K81" s="5">
        <v>42850</v>
      </c>
      <c r="L81" s="4" t="s">
        <v>17</v>
      </c>
      <c r="M81" s="4">
        <v>80</v>
      </c>
      <c r="N81" s="4">
        <v>22</v>
      </c>
      <c r="O81" s="4">
        <v>14</v>
      </c>
    </row>
    <row r="82" spans="1:15" x14ac:dyDescent="0.25">
      <c r="A82" s="2" t="s">
        <v>272</v>
      </c>
      <c r="B82" s="2" t="s">
        <v>273</v>
      </c>
      <c r="C82" s="2" t="s">
        <v>57</v>
      </c>
      <c r="D82" s="2">
        <v>4.9000000000000004</v>
      </c>
      <c r="E82" s="2">
        <v>65142</v>
      </c>
      <c r="F82" s="2" t="s">
        <v>24</v>
      </c>
      <c r="G82" s="2" t="s">
        <v>274</v>
      </c>
      <c r="H82" s="2">
        <v>52.62</v>
      </c>
      <c r="I82" s="2" t="s">
        <v>275</v>
      </c>
      <c r="J82" s="2"/>
      <c r="K82" s="3">
        <v>39995</v>
      </c>
      <c r="L82" s="2" t="s">
        <v>61</v>
      </c>
      <c r="M82" s="2">
        <v>81</v>
      </c>
      <c r="N82" s="2"/>
      <c r="O82" s="2"/>
    </row>
    <row r="83" spans="1:15" x14ac:dyDescent="0.25">
      <c r="A83" s="4" t="s">
        <v>276</v>
      </c>
      <c r="B83" s="4" t="s">
        <v>277</v>
      </c>
      <c r="C83" s="4" t="s">
        <v>9</v>
      </c>
      <c r="D83" s="4">
        <v>4.8</v>
      </c>
      <c r="E83" s="4">
        <v>27090</v>
      </c>
      <c r="F83" s="4" t="s">
        <v>24</v>
      </c>
      <c r="G83" s="4" t="s">
        <v>278</v>
      </c>
      <c r="H83" s="4">
        <v>10.210000000000001</v>
      </c>
      <c r="I83" s="4" t="s">
        <v>12</v>
      </c>
      <c r="J83" s="4">
        <v>216</v>
      </c>
      <c r="K83" s="5">
        <v>42156</v>
      </c>
      <c r="L83" s="4" t="s">
        <v>13</v>
      </c>
      <c r="M83" s="4">
        <v>82</v>
      </c>
      <c r="N83" s="4"/>
      <c r="O83" s="4"/>
    </row>
    <row r="84" spans="1:15" x14ac:dyDescent="0.25">
      <c r="A84" s="2" t="s">
        <v>279</v>
      </c>
      <c r="B84" s="2" t="s">
        <v>280</v>
      </c>
      <c r="C84" s="2" t="s">
        <v>15</v>
      </c>
      <c r="D84" s="2">
        <v>4.7</v>
      </c>
      <c r="E84" s="2">
        <v>14647</v>
      </c>
      <c r="F84" s="2" t="s">
        <v>24</v>
      </c>
      <c r="G84" s="2" t="s">
        <v>281</v>
      </c>
      <c r="H84" s="2">
        <v>10.199999999999999</v>
      </c>
      <c r="I84" s="2" t="s">
        <v>12</v>
      </c>
      <c r="J84" s="2">
        <v>200</v>
      </c>
      <c r="K84" s="3">
        <v>44256</v>
      </c>
      <c r="L84" s="2" t="s">
        <v>127</v>
      </c>
      <c r="M84" s="2">
        <v>83</v>
      </c>
      <c r="N84" s="2"/>
      <c r="O84" s="2"/>
    </row>
    <row r="85" spans="1:15" x14ac:dyDescent="0.25">
      <c r="A85" s="4" t="s">
        <v>282</v>
      </c>
      <c r="B85" s="4" t="s">
        <v>85</v>
      </c>
      <c r="C85" s="4" t="s">
        <v>15</v>
      </c>
      <c r="D85" s="4">
        <v>4.7</v>
      </c>
      <c r="E85" s="4">
        <v>269981</v>
      </c>
      <c r="F85" s="4" t="s">
        <v>24</v>
      </c>
      <c r="G85" s="4" t="s">
        <v>283</v>
      </c>
      <c r="H85" s="4">
        <v>12.81</v>
      </c>
      <c r="I85" s="4" t="s">
        <v>12</v>
      </c>
      <c r="J85" s="4">
        <v>736</v>
      </c>
      <c r="K85" s="5">
        <v>43984</v>
      </c>
      <c r="L85" s="4" t="s">
        <v>17</v>
      </c>
      <c r="M85" s="4">
        <v>84</v>
      </c>
      <c r="N85" s="4">
        <v>44</v>
      </c>
      <c r="O85" s="4"/>
    </row>
    <row r="86" spans="1:15" x14ac:dyDescent="0.25">
      <c r="A86" s="2" t="s">
        <v>284</v>
      </c>
      <c r="B86" s="2" t="s">
        <v>285</v>
      </c>
      <c r="C86" s="2" t="s">
        <v>20</v>
      </c>
      <c r="D86" s="2">
        <v>4.5</v>
      </c>
      <c r="E86" s="2">
        <v>158416</v>
      </c>
      <c r="F86" s="2" t="s">
        <v>10</v>
      </c>
      <c r="G86" s="2" t="s">
        <v>286</v>
      </c>
      <c r="H86" s="2">
        <v>13.43</v>
      </c>
      <c r="I86" s="2" t="s">
        <v>12</v>
      </c>
      <c r="J86" s="2">
        <v>224</v>
      </c>
      <c r="K86" s="3">
        <v>42626</v>
      </c>
      <c r="L86" s="2" t="s">
        <v>13</v>
      </c>
      <c r="M86" s="2">
        <v>85</v>
      </c>
      <c r="N86" s="2"/>
      <c r="O86" s="2"/>
    </row>
    <row r="87" spans="1:15" x14ac:dyDescent="0.25">
      <c r="A87" s="4" t="s">
        <v>287</v>
      </c>
      <c r="B87" s="4" t="s">
        <v>288</v>
      </c>
      <c r="C87" s="4" t="s">
        <v>15</v>
      </c>
      <c r="D87" s="4">
        <v>4.7</v>
      </c>
      <c r="E87" s="4">
        <v>13739</v>
      </c>
      <c r="F87" s="4" t="s">
        <v>24</v>
      </c>
      <c r="G87" s="4" t="s">
        <v>289</v>
      </c>
      <c r="H87" s="4">
        <v>14.71</v>
      </c>
      <c r="I87" s="4" t="s">
        <v>12</v>
      </c>
      <c r="J87" s="4">
        <v>721</v>
      </c>
      <c r="K87" s="5">
        <v>38838</v>
      </c>
      <c r="L87" s="4" t="s">
        <v>22</v>
      </c>
      <c r="M87" s="4">
        <v>86</v>
      </c>
      <c r="N87" s="4"/>
      <c r="O87" s="4"/>
    </row>
    <row r="88" spans="1:15" x14ac:dyDescent="0.25">
      <c r="A88" s="2" t="s">
        <v>290</v>
      </c>
      <c r="B88" s="2" t="s">
        <v>291</v>
      </c>
      <c r="C88" s="2" t="s">
        <v>15</v>
      </c>
      <c r="D88" s="2">
        <v>4.7</v>
      </c>
      <c r="E88" s="2">
        <v>7992</v>
      </c>
      <c r="F88" s="2" t="s">
        <v>10</v>
      </c>
      <c r="G88" s="2" t="s">
        <v>283</v>
      </c>
      <c r="H88" s="2">
        <v>12.81</v>
      </c>
      <c r="I88" s="2" t="s">
        <v>12</v>
      </c>
      <c r="J88" s="2">
        <v>352</v>
      </c>
      <c r="K88" s="3">
        <v>44922</v>
      </c>
      <c r="L88" s="2" t="s">
        <v>42</v>
      </c>
      <c r="M88" s="2">
        <v>87</v>
      </c>
      <c r="N88" s="2"/>
      <c r="O88" s="2"/>
    </row>
    <row r="89" spans="1:15" x14ac:dyDescent="0.25">
      <c r="A89" s="4" t="s">
        <v>292</v>
      </c>
      <c r="B89" s="4" t="s">
        <v>166</v>
      </c>
      <c r="C89" s="4" t="s">
        <v>32</v>
      </c>
      <c r="D89" s="4">
        <v>4.5999999999999996</v>
      </c>
      <c r="E89" s="4">
        <v>3296</v>
      </c>
      <c r="F89" s="4" t="s">
        <v>24</v>
      </c>
      <c r="G89" s="4" t="s">
        <v>293</v>
      </c>
      <c r="H89" s="4">
        <v>21.74</v>
      </c>
      <c r="I89" s="4" t="s">
        <v>12</v>
      </c>
      <c r="J89" s="4">
        <v>227</v>
      </c>
      <c r="K89" s="5">
        <v>44985</v>
      </c>
      <c r="L89" s="4" t="s">
        <v>13</v>
      </c>
      <c r="M89" s="4">
        <v>88</v>
      </c>
      <c r="N89" s="4"/>
      <c r="O89" s="4"/>
    </row>
    <row r="90" spans="1:15" x14ac:dyDescent="0.25">
      <c r="A90" s="2" t="s">
        <v>294</v>
      </c>
      <c r="B90" s="2" t="s">
        <v>295</v>
      </c>
      <c r="C90" s="2" t="s">
        <v>32</v>
      </c>
      <c r="D90" s="2">
        <v>4.5999999999999996</v>
      </c>
      <c r="E90" s="2">
        <v>123058</v>
      </c>
      <c r="F90" s="2" t="s">
        <v>24</v>
      </c>
      <c r="G90" s="2" t="s">
        <v>296</v>
      </c>
      <c r="H90" s="2">
        <v>5.03</v>
      </c>
      <c r="I90" s="2" t="s">
        <v>12</v>
      </c>
      <c r="J90" s="2">
        <v>208</v>
      </c>
      <c r="K90" s="3">
        <v>41744</v>
      </c>
      <c r="L90" s="2" t="s">
        <v>22</v>
      </c>
      <c r="M90" s="2">
        <v>89</v>
      </c>
      <c r="N90" s="2"/>
      <c r="O90" s="2">
        <v>88</v>
      </c>
    </row>
    <row r="91" spans="1:15" x14ac:dyDescent="0.25">
      <c r="A91" s="4" t="s">
        <v>297</v>
      </c>
      <c r="B91" s="4" t="s">
        <v>298</v>
      </c>
      <c r="C91" s="4" t="s">
        <v>57</v>
      </c>
      <c r="D91" s="4">
        <v>4.9000000000000004</v>
      </c>
      <c r="E91" s="4">
        <v>67104</v>
      </c>
      <c r="F91" s="4" t="s">
        <v>24</v>
      </c>
      <c r="G91" s="4" t="s">
        <v>299</v>
      </c>
      <c r="H91" s="4">
        <v>4.9800000000000004</v>
      </c>
      <c r="I91" s="4" t="s">
        <v>98</v>
      </c>
      <c r="J91" s="4">
        <v>32</v>
      </c>
      <c r="K91" s="5">
        <v>34943</v>
      </c>
      <c r="L91" s="4" t="s">
        <v>61</v>
      </c>
      <c r="M91" s="4">
        <v>90</v>
      </c>
      <c r="N91" s="4"/>
      <c r="O91" s="4"/>
    </row>
    <row r="92" spans="1:15" x14ac:dyDescent="0.25">
      <c r="A92" s="2" t="s">
        <v>300</v>
      </c>
      <c r="B92" s="2" t="s">
        <v>301</v>
      </c>
      <c r="C92" s="2" t="s">
        <v>9</v>
      </c>
      <c r="D92" s="2">
        <v>4.8</v>
      </c>
      <c r="E92" s="2">
        <v>37369</v>
      </c>
      <c r="F92" s="2" t="s">
        <v>10</v>
      </c>
      <c r="G92" s="2" t="s">
        <v>302</v>
      </c>
      <c r="H92" s="2">
        <v>5.96</v>
      </c>
      <c r="I92" s="2" t="s">
        <v>153</v>
      </c>
      <c r="J92" s="2">
        <v>40</v>
      </c>
      <c r="K92" s="3">
        <v>43529</v>
      </c>
      <c r="L92" s="2" t="s">
        <v>61</v>
      </c>
      <c r="M92" s="2">
        <v>91</v>
      </c>
      <c r="N92" s="2"/>
      <c r="O92" s="2"/>
    </row>
    <row r="93" spans="1:15" x14ac:dyDescent="0.25">
      <c r="A93" s="4" t="s">
        <v>303</v>
      </c>
      <c r="B93" s="4" t="s">
        <v>304</v>
      </c>
      <c r="C93" s="4" t="s">
        <v>20</v>
      </c>
      <c r="D93" s="4">
        <v>4.5</v>
      </c>
      <c r="E93" s="4">
        <v>235857</v>
      </c>
      <c r="F93" s="4" t="s">
        <v>24</v>
      </c>
      <c r="G93" s="4" t="s">
        <v>305</v>
      </c>
      <c r="H93" s="4">
        <v>10.18</v>
      </c>
      <c r="I93" s="4" t="s">
        <v>12</v>
      </c>
      <c r="J93" s="4">
        <v>544</v>
      </c>
      <c r="K93" s="5">
        <v>42829</v>
      </c>
      <c r="L93" s="4" t="s">
        <v>17</v>
      </c>
      <c r="M93" s="4">
        <v>92</v>
      </c>
      <c r="N93" s="4"/>
      <c r="O93" s="4"/>
    </row>
    <row r="94" spans="1:15" x14ac:dyDescent="0.25">
      <c r="A94" s="2" t="s">
        <v>306</v>
      </c>
      <c r="B94" s="2" t="s">
        <v>307</v>
      </c>
      <c r="C94" s="2" t="s">
        <v>20</v>
      </c>
      <c r="D94" s="2">
        <v>4.5</v>
      </c>
      <c r="E94" s="2">
        <v>105084</v>
      </c>
      <c r="F94" s="2" t="s">
        <v>24</v>
      </c>
      <c r="G94" s="2" t="s">
        <v>122</v>
      </c>
      <c r="H94" s="2">
        <v>10.83</v>
      </c>
      <c r="I94" s="2" t="s">
        <v>261</v>
      </c>
      <c r="J94" s="2">
        <v>528</v>
      </c>
      <c r="K94" s="3">
        <v>45139</v>
      </c>
      <c r="L94" s="2" t="s">
        <v>17</v>
      </c>
      <c r="M94" s="2">
        <v>93</v>
      </c>
      <c r="N94" s="2"/>
      <c r="O94" s="2"/>
    </row>
    <row r="95" spans="1:15" x14ac:dyDescent="0.25">
      <c r="A95" s="4" t="s">
        <v>308</v>
      </c>
      <c r="B95" s="4" t="s">
        <v>309</v>
      </c>
      <c r="C95" s="4" t="s">
        <v>9</v>
      </c>
      <c r="D95" s="4">
        <v>4.8</v>
      </c>
      <c r="E95" s="4">
        <v>30260</v>
      </c>
      <c r="F95" s="4" t="s">
        <v>24</v>
      </c>
      <c r="G95" s="4" t="s">
        <v>310</v>
      </c>
      <c r="H95" s="4">
        <v>9.43</v>
      </c>
      <c r="I95" s="4" t="s">
        <v>12</v>
      </c>
      <c r="J95" s="4">
        <v>656</v>
      </c>
      <c r="K95" s="5">
        <v>42521</v>
      </c>
      <c r="L95" s="4" t="s">
        <v>42</v>
      </c>
      <c r="M95" s="4">
        <v>94</v>
      </c>
      <c r="N95" s="4">
        <v>76</v>
      </c>
      <c r="O95" s="4">
        <v>72</v>
      </c>
    </row>
    <row r="96" spans="1:15" x14ac:dyDescent="0.25">
      <c r="A96" s="2" t="s">
        <v>311</v>
      </c>
      <c r="B96" s="2" t="s">
        <v>312</v>
      </c>
      <c r="C96" s="2" t="s">
        <v>179</v>
      </c>
      <c r="D96" s="2">
        <v>4.3</v>
      </c>
      <c r="E96" s="2">
        <v>168512</v>
      </c>
      <c r="F96" s="2" t="s">
        <v>24</v>
      </c>
      <c r="G96" s="2" t="s">
        <v>313</v>
      </c>
      <c r="H96" s="2">
        <v>7.16</v>
      </c>
      <c r="I96" s="2" t="s">
        <v>12</v>
      </c>
      <c r="J96" s="2">
        <v>336</v>
      </c>
      <c r="K96" s="3">
        <v>45006</v>
      </c>
      <c r="L96" s="2" t="s">
        <v>17</v>
      </c>
      <c r="M96" s="2">
        <v>95</v>
      </c>
      <c r="N96" s="2"/>
      <c r="O96" s="2"/>
    </row>
    <row r="97" spans="1:15" x14ac:dyDescent="0.25">
      <c r="A97" s="4" t="s">
        <v>314</v>
      </c>
      <c r="B97" s="4" t="s">
        <v>315</v>
      </c>
      <c r="C97" s="4" t="s">
        <v>9</v>
      </c>
      <c r="D97" s="4">
        <v>4.8</v>
      </c>
      <c r="E97" s="4">
        <v>40073</v>
      </c>
      <c r="F97" s="4" t="s">
        <v>10</v>
      </c>
      <c r="G97" s="4" t="s">
        <v>316</v>
      </c>
      <c r="H97" s="4">
        <v>12</v>
      </c>
      <c r="I97" s="4" t="s">
        <v>130</v>
      </c>
      <c r="J97" s="4">
        <v>192</v>
      </c>
      <c r="K97" s="5">
        <v>43396</v>
      </c>
      <c r="L97" s="4" t="s">
        <v>116</v>
      </c>
      <c r="M97" s="4">
        <v>96</v>
      </c>
      <c r="N97" s="4">
        <v>75</v>
      </c>
      <c r="O97" s="4">
        <v>65</v>
      </c>
    </row>
    <row r="98" spans="1:15" x14ac:dyDescent="0.25">
      <c r="A98" s="2" t="s">
        <v>317</v>
      </c>
      <c r="B98" s="2" t="s">
        <v>318</v>
      </c>
      <c r="C98" s="2" t="s">
        <v>9</v>
      </c>
      <c r="D98" s="2">
        <v>4.8</v>
      </c>
      <c r="E98" s="2">
        <v>91554</v>
      </c>
      <c r="F98" s="2" t="s">
        <v>24</v>
      </c>
      <c r="G98" s="2" t="s">
        <v>144</v>
      </c>
      <c r="H98" s="2">
        <v>1.89</v>
      </c>
      <c r="I98" s="2" t="s">
        <v>12</v>
      </c>
      <c r="J98" s="2">
        <v>224</v>
      </c>
      <c r="K98" s="3">
        <v>45444</v>
      </c>
      <c r="L98" s="2" t="s">
        <v>13</v>
      </c>
      <c r="M98" s="2">
        <v>97</v>
      </c>
      <c r="N98" s="2"/>
      <c r="O98" s="2"/>
    </row>
    <row r="99" spans="1:15" x14ac:dyDescent="0.25">
      <c r="A99" s="4" t="s">
        <v>319</v>
      </c>
      <c r="B99" s="4" t="s">
        <v>320</v>
      </c>
      <c r="C99" s="4" t="s">
        <v>9</v>
      </c>
      <c r="D99" s="4">
        <v>4.8</v>
      </c>
      <c r="E99" s="4">
        <v>89173</v>
      </c>
      <c r="F99" s="4" t="s">
        <v>24</v>
      </c>
      <c r="G99" s="4" t="s">
        <v>321</v>
      </c>
      <c r="H99" s="4">
        <v>5.26</v>
      </c>
      <c r="I99" s="4" t="s">
        <v>134</v>
      </c>
      <c r="J99" s="4">
        <v>84</v>
      </c>
      <c r="K99" s="5">
        <v>43704</v>
      </c>
      <c r="L99" s="4" t="s">
        <v>61</v>
      </c>
      <c r="M99" s="4">
        <v>98</v>
      </c>
      <c r="N99" s="4">
        <v>33</v>
      </c>
      <c r="O99" s="4">
        <v>8</v>
      </c>
    </row>
    <row r="100" spans="1:15" x14ac:dyDescent="0.25">
      <c r="A100" s="2" t="s">
        <v>322</v>
      </c>
      <c r="B100" s="2" t="s">
        <v>301</v>
      </c>
      <c r="C100" s="2" t="s">
        <v>9</v>
      </c>
      <c r="D100" s="2">
        <v>4.8</v>
      </c>
      <c r="E100" s="2">
        <v>34994</v>
      </c>
      <c r="F100" s="2" t="s">
        <v>10</v>
      </c>
      <c r="G100" s="2" t="s">
        <v>323</v>
      </c>
      <c r="H100" s="2">
        <v>5.71</v>
      </c>
      <c r="I100" s="2" t="s">
        <v>153</v>
      </c>
      <c r="J100" s="2">
        <v>40</v>
      </c>
      <c r="K100" s="3">
        <v>43298</v>
      </c>
      <c r="L100" s="2" t="s">
        <v>61</v>
      </c>
      <c r="M100" s="2">
        <v>99</v>
      </c>
      <c r="N100" s="2"/>
      <c r="O100" s="2"/>
    </row>
    <row r="101" spans="1:15" x14ac:dyDescent="0.25">
      <c r="A101" s="4" t="s">
        <v>324</v>
      </c>
      <c r="B101" s="4" t="s">
        <v>85</v>
      </c>
      <c r="C101" s="4" t="s">
        <v>140</v>
      </c>
      <c r="D101" s="4">
        <v>4.2</v>
      </c>
      <c r="E101" s="4">
        <v>181184</v>
      </c>
      <c r="F101" s="4" t="s">
        <v>24</v>
      </c>
      <c r="G101" s="4" t="s">
        <v>325</v>
      </c>
      <c r="H101" s="4">
        <v>12.74</v>
      </c>
      <c r="I101" s="4" t="s">
        <v>12</v>
      </c>
      <c r="J101" s="4">
        <v>272</v>
      </c>
      <c r="K101" s="5">
        <v>43984</v>
      </c>
      <c r="L101" s="4" t="s">
        <v>17</v>
      </c>
      <c r="M101" s="4">
        <v>100</v>
      </c>
      <c r="N101" s="4">
        <v>57</v>
      </c>
      <c r="O101" s="4"/>
    </row>
    <row r="102" spans="1:15" x14ac:dyDescent="0.25">
      <c r="A102" s="2" t="s">
        <v>326</v>
      </c>
      <c r="B102" s="2" t="s">
        <v>270</v>
      </c>
      <c r="C102" s="2" t="s">
        <v>15</v>
      </c>
      <c r="D102" s="2">
        <v>4.7</v>
      </c>
      <c r="E102" s="2">
        <v>315946</v>
      </c>
      <c r="F102" s="2" t="s">
        <v>10</v>
      </c>
      <c r="G102" s="2" t="s">
        <v>327</v>
      </c>
      <c r="H102" s="2">
        <v>20.5</v>
      </c>
      <c r="I102" s="2" t="s">
        <v>12</v>
      </c>
      <c r="J102" s="2">
        <v>480</v>
      </c>
      <c r="K102" s="3">
        <v>45328</v>
      </c>
      <c r="L102" s="2" t="s">
        <v>17</v>
      </c>
      <c r="M102" s="2"/>
      <c r="N102" s="2">
        <v>1</v>
      </c>
      <c r="O102" s="2">
        <v>44</v>
      </c>
    </row>
    <row r="103" spans="1:15" x14ac:dyDescent="0.25">
      <c r="A103" s="4" t="s">
        <v>328</v>
      </c>
      <c r="B103" s="4" t="s">
        <v>14</v>
      </c>
      <c r="C103" s="4" t="s">
        <v>32</v>
      </c>
      <c r="D103" s="4">
        <v>4.5999999999999996</v>
      </c>
      <c r="E103" s="4">
        <v>283105</v>
      </c>
      <c r="F103" s="4" t="s">
        <v>10</v>
      </c>
      <c r="G103" s="4" t="s">
        <v>329</v>
      </c>
      <c r="H103" s="4">
        <v>8.0299999999999994</v>
      </c>
      <c r="I103" s="4" t="s">
        <v>12</v>
      </c>
      <c r="J103" s="4">
        <v>566</v>
      </c>
      <c r="K103" s="5">
        <v>45678</v>
      </c>
      <c r="L103" s="4" t="s">
        <v>17</v>
      </c>
      <c r="M103" s="4"/>
      <c r="N103" s="4">
        <v>2</v>
      </c>
      <c r="O103" s="4">
        <v>18</v>
      </c>
    </row>
    <row r="104" spans="1:15" x14ac:dyDescent="0.25">
      <c r="A104" s="2" t="s">
        <v>330</v>
      </c>
      <c r="B104" s="2" t="s">
        <v>331</v>
      </c>
      <c r="C104" s="2" t="s">
        <v>28</v>
      </c>
      <c r="D104" s="2">
        <v>4.4000000000000004</v>
      </c>
      <c r="E104" s="2">
        <v>124288</v>
      </c>
      <c r="F104" s="2" t="s">
        <v>24</v>
      </c>
      <c r="G104" s="2" t="s">
        <v>332</v>
      </c>
      <c r="H104" s="2">
        <v>13.51</v>
      </c>
      <c r="I104" s="2" t="s">
        <v>12</v>
      </c>
      <c r="J104" s="2">
        <v>288</v>
      </c>
      <c r="K104" s="3">
        <v>43221</v>
      </c>
      <c r="L104" s="2" t="s">
        <v>333</v>
      </c>
      <c r="M104" s="2"/>
      <c r="N104" s="2">
        <v>4</v>
      </c>
      <c r="O104" s="2"/>
    </row>
    <row r="105" spans="1:15" x14ac:dyDescent="0.25">
      <c r="A105" s="4" t="s">
        <v>51</v>
      </c>
      <c r="B105" s="4" t="s">
        <v>52</v>
      </c>
      <c r="C105" s="4" t="s">
        <v>20</v>
      </c>
      <c r="D105" s="4">
        <v>4.5</v>
      </c>
      <c r="E105" s="4">
        <v>653111</v>
      </c>
      <c r="F105" s="4" t="s">
        <v>24</v>
      </c>
      <c r="G105" s="4" t="s">
        <v>53</v>
      </c>
      <c r="H105" s="4">
        <v>9.69</v>
      </c>
      <c r="I105" s="4" t="s">
        <v>12</v>
      </c>
      <c r="J105" s="4">
        <v>336</v>
      </c>
      <c r="K105" s="5">
        <v>44796</v>
      </c>
      <c r="L105" s="4" t="s">
        <v>54</v>
      </c>
      <c r="M105" s="4"/>
      <c r="N105" s="4">
        <v>5</v>
      </c>
      <c r="O105" s="4"/>
    </row>
    <row r="106" spans="1:15" x14ac:dyDescent="0.25">
      <c r="A106" s="2" t="s">
        <v>334</v>
      </c>
      <c r="B106" s="2" t="s">
        <v>335</v>
      </c>
      <c r="C106" s="2" t="s">
        <v>15</v>
      </c>
      <c r="D106" s="2">
        <v>4.7</v>
      </c>
      <c r="E106" s="2">
        <v>20096</v>
      </c>
      <c r="F106" s="2" t="s">
        <v>24</v>
      </c>
      <c r="G106" s="2" t="s">
        <v>336</v>
      </c>
      <c r="H106" s="2">
        <v>11.95</v>
      </c>
      <c r="I106" s="2" t="s">
        <v>12</v>
      </c>
      <c r="J106" s="2">
        <v>108</v>
      </c>
      <c r="K106" s="3">
        <v>43665</v>
      </c>
      <c r="L106" s="2" t="s">
        <v>337</v>
      </c>
      <c r="M106" s="2"/>
      <c r="N106" s="2">
        <v>6</v>
      </c>
      <c r="O106" s="2">
        <v>36</v>
      </c>
    </row>
    <row r="107" spans="1:15" x14ac:dyDescent="0.25">
      <c r="A107" s="4" t="s">
        <v>338</v>
      </c>
      <c r="B107" s="4" t="s">
        <v>339</v>
      </c>
      <c r="C107" s="4" t="s">
        <v>15</v>
      </c>
      <c r="D107" s="4">
        <v>4.7</v>
      </c>
      <c r="E107" s="4">
        <v>13431</v>
      </c>
      <c r="F107" s="4" t="s">
        <v>24</v>
      </c>
      <c r="G107" s="4" t="s">
        <v>340</v>
      </c>
      <c r="H107" s="4">
        <v>8.7899999999999991</v>
      </c>
      <c r="I107" s="4" t="s">
        <v>12</v>
      </c>
      <c r="J107" s="4">
        <v>110</v>
      </c>
      <c r="K107" s="5">
        <v>43612</v>
      </c>
      <c r="L107" s="4" t="s">
        <v>77</v>
      </c>
      <c r="M107" s="4"/>
      <c r="N107" s="4">
        <v>7</v>
      </c>
      <c r="O107" s="4"/>
    </row>
    <row r="108" spans="1:15" x14ac:dyDescent="0.25">
      <c r="A108" s="2" t="s">
        <v>341</v>
      </c>
      <c r="B108" s="2" t="s">
        <v>342</v>
      </c>
      <c r="C108" s="2" t="s">
        <v>32</v>
      </c>
      <c r="D108" s="2">
        <v>4.5999999999999996</v>
      </c>
      <c r="E108" s="2">
        <v>11570</v>
      </c>
      <c r="F108" s="2" t="s">
        <v>10</v>
      </c>
      <c r="G108" s="2" t="s">
        <v>343</v>
      </c>
      <c r="H108" s="2">
        <v>14.01</v>
      </c>
      <c r="I108" s="2" t="s">
        <v>12</v>
      </c>
      <c r="J108" s="2">
        <v>400</v>
      </c>
      <c r="K108" s="3">
        <v>45377</v>
      </c>
      <c r="L108" s="2" t="s">
        <v>337</v>
      </c>
      <c r="M108" s="2"/>
      <c r="N108" s="2">
        <v>8</v>
      </c>
      <c r="O108" s="2">
        <v>19</v>
      </c>
    </row>
    <row r="109" spans="1:15" x14ac:dyDescent="0.25">
      <c r="A109" s="4" t="s">
        <v>49</v>
      </c>
      <c r="B109" s="4" t="s">
        <v>44</v>
      </c>
      <c r="C109" s="4" t="s">
        <v>15</v>
      </c>
      <c r="D109" s="4">
        <v>4.7</v>
      </c>
      <c r="E109" s="4">
        <v>405311</v>
      </c>
      <c r="F109" s="4" t="s">
        <v>24</v>
      </c>
      <c r="G109" s="4" t="s">
        <v>50</v>
      </c>
      <c r="H109" s="4">
        <v>9.0299999999999994</v>
      </c>
      <c r="I109" s="4" t="s">
        <v>12</v>
      </c>
      <c r="J109" s="4">
        <v>384</v>
      </c>
      <c r="K109" s="5">
        <v>42584</v>
      </c>
      <c r="L109" s="4" t="s">
        <v>17</v>
      </c>
      <c r="M109" s="4"/>
      <c r="N109" s="4">
        <v>9</v>
      </c>
      <c r="O109" s="4"/>
    </row>
    <row r="110" spans="1:15" x14ac:dyDescent="0.25">
      <c r="A110" s="2" t="s">
        <v>344</v>
      </c>
      <c r="B110" s="2" t="s">
        <v>345</v>
      </c>
      <c r="C110" s="2" t="s">
        <v>32</v>
      </c>
      <c r="D110" s="2">
        <v>4.5999999999999996</v>
      </c>
      <c r="E110" s="2">
        <v>5091</v>
      </c>
      <c r="F110" s="2" t="s">
        <v>10</v>
      </c>
      <c r="G110" s="2" t="s">
        <v>346</v>
      </c>
      <c r="H110" s="2">
        <v>14.88</v>
      </c>
      <c r="I110" s="2" t="s">
        <v>12</v>
      </c>
      <c r="J110" s="2">
        <v>400</v>
      </c>
      <c r="K110" s="3">
        <v>45426</v>
      </c>
      <c r="L110" s="2" t="s">
        <v>42</v>
      </c>
      <c r="M110" s="2"/>
      <c r="N110" s="2">
        <v>10</v>
      </c>
      <c r="O110" s="2"/>
    </row>
    <row r="111" spans="1:15" x14ac:dyDescent="0.25">
      <c r="A111" s="4" t="s">
        <v>347</v>
      </c>
      <c r="B111" s="4" t="s">
        <v>100</v>
      </c>
      <c r="C111" s="4" t="s">
        <v>9</v>
      </c>
      <c r="D111" s="4">
        <v>4.8</v>
      </c>
      <c r="E111" s="4">
        <v>10416</v>
      </c>
      <c r="F111" s="4" t="s">
        <v>10</v>
      </c>
      <c r="G111" s="4" t="s">
        <v>348</v>
      </c>
      <c r="H111" s="4">
        <v>8.3800000000000008</v>
      </c>
      <c r="I111" s="4" t="s">
        <v>102</v>
      </c>
      <c r="J111" s="4">
        <v>224</v>
      </c>
      <c r="K111" s="5">
        <v>45370</v>
      </c>
      <c r="L111" s="4" t="s">
        <v>103</v>
      </c>
      <c r="M111" s="4"/>
      <c r="N111" s="4">
        <v>14</v>
      </c>
      <c r="O111" s="4"/>
    </row>
    <row r="112" spans="1:15" x14ac:dyDescent="0.25">
      <c r="A112" s="2" t="s">
        <v>349</v>
      </c>
      <c r="B112" s="2" t="s">
        <v>350</v>
      </c>
      <c r="C112" s="2" t="s">
        <v>32</v>
      </c>
      <c r="D112" s="2">
        <v>4.5999999999999996</v>
      </c>
      <c r="E112" s="2">
        <v>12421</v>
      </c>
      <c r="F112" s="2" t="s">
        <v>10</v>
      </c>
      <c r="G112" s="2" t="s">
        <v>351</v>
      </c>
      <c r="H112" s="2">
        <v>17</v>
      </c>
      <c r="I112" s="2" t="s">
        <v>12</v>
      </c>
      <c r="J112" s="2">
        <v>256</v>
      </c>
      <c r="K112" s="3">
        <v>45573</v>
      </c>
      <c r="L112" s="2" t="s">
        <v>22</v>
      </c>
      <c r="M112" s="2"/>
      <c r="N112" s="2">
        <v>17</v>
      </c>
      <c r="O112" s="2"/>
    </row>
    <row r="113" spans="1:15" x14ac:dyDescent="0.25">
      <c r="A113" s="4" t="s">
        <v>352</v>
      </c>
      <c r="B113" s="4" t="s">
        <v>353</v>
      </c>
      <c r="C113" s="4" t="s">
        <v>15</v>
      </c>
      <c r="D113" s="4">
        <v>4.7</v>
      </c>
      <c r="E113" s="4">
        <v>6506</v>
      </c>
      <c r="F113" s="4" t="s">
        <v>24</v>
      </c>
      <c r="G113" s="4" t="s">
        <v>354</v>
      </c>
      <c r="H113" s="4">
        <v>10.9</v>
      </c>
      <c r="I113" s="4" t="s">
        <v>355</v>
      </c>
      <c r="J113" s="4">
        <v>110</v>
      </c>
      <c r="K113" s="5">
        <v>45248</v>
      </c>
      <c r="L113" s="4" t="s">
        <v>77</v>
      </c>
      <c r="M113" s="4"/>
      <c r="N113" s="4">
        <v>20</v>
      </c>
      <c r="O113" s="4">
        <v>4</v>
      </c>
    </row>
    <row r="114" spans="1:15" x14ac:dyDescent="0.25">
      <c r="A114" s="2" t="s">
        <v>356</v>
      </c>
      <c r="B114" s="2" t="s">
        <v>92</v>
      </c>
      <c r="C114" s="2" t="s">
        <v>15</v>
      </c>
      <c r="D114" s="2">
        <v>4.7</v>
      </c>
      <c r="E114" s="2">
        <v>5812</v>
      </c>
      <c r="F114" s="2" t="s">
        <v>10</v>
      </c>
      <c r="G114" s="2" t="s">
        <v>357</v>
      </c>
      <c r="H114" s="2">
        <v>2.69</v>
      </c>
      <c r="I114" s="2" t="s">
        <v>275</v>
      </c>
      <c r="J114" s="2">
        <v>224</v>
      </c>
      <c r="K114" s="3">
        <v>45587</v>
      </c>
      <c r="L114" s="2" t="s">
        <v>61</v>
      </c>
      <c r="M114" s="2"/>
      <c r="N114" s="2">
        <v>21</v>
      </c>
      <c r="O114" s="2"/>
    </row>
    <row r="115" spans="1:15" x14ac:dyDescent="0.25">
      <c r="A115" s="4" t="s">
        <v>358</v>
      </c>
      <c r="B115" s="4" t="s">
        <v>52</v>
      </c>
      <c r="C115" s="4" t="s">
        <v>140</v>
      </c>
      <c r="D115" s="4">
        <v>4.2</v>
      </c>
      <c r="E115" s="4">
        <v>270851</v>
      </c>
      <c r="F115" s="4" t="s">
        <v>24</v>
      </c>
      <c r="G115" s="4" t="s">
        <v>359</v>
      </c>
      <c r="H115" s="4">
        <v>12.58</v>
      </c>
      <c r="I115" s="4" t="s">
        <v>12</v>
      </c>
      <c r="J115" s="4">
        <v>400</v>
      </c>
      <c r="K115" s="5">
        <v>45454</v>
      </c>
      <c r="L115" s="4" t="s">
        <v>17</v>
      </c>
      <c r="M115" s="4"/>
      <c r="N115" s="4">
        <v>23</v>
      </c>
      <c r="O115" s="4">
        <v>59</v>
      </c>
    </row>
    <row r="116" spans="1:15" x14ac:dyDescent="0.25">
      <c r="A116" s="2" t="s">
        <v>360</v>
      </c>
      <c r="B116" s="2" t="s">
        <v>361</v>
      </c>
      <c r="C116" s="2" t="s">
        <v>9</v>
      </c>
      <c r="D116" s="2">
        <v>4.8</v>
      </c>
      <c r="E116" s="2">
        <v>9897</v>
      </c>
      <c r="F116" s="2" t="s">
        <v>24</v>
      </c>
      <c r="G116" s="2" t="s">
        <v>64</v>
      </c>
      <c r="H116" s="2">
        <v>9.99</v>
      </c>
      <c r="I116" s="2" t="s">
        <v>362</v>
      </c>
      <c r="J116" s="2">
        <v>88</v>
      </c>
      <c r="K116" s="3">
        <v>45441</v>
      </c>
      <c r="L116" s="2" t="s">
        <v>77</v>
      </c>
      <c r="M116" s="2"/>
      <c r="N116" s="2">
        <v>24</v>
      </c>
      <c r="O116" s="2">
        <v>22</v>
      </c>
    </row>
    <row r="117" spans="1:15" x14ac:dyDescent="0.25">
      <c r="A117" s="4" t="s">
        <v>95</v>
      </c>
      <c r="B117" s="4" t="s">
        <v>96</v>
      </c>
      <c r="C117" s="4" t="s">
        <v>57</v>
      </c>
      <c r="D117" s="4">
        <v>4.9000000000000004</v>
      </c>
      <c r="E117" s="4">
        <v>80263</v>
      </c>
      <c r="F117" s="4" t="s">
        <v>58</v>
      </c>
      <c r="G117" s="4" t="s">
        <v>97</v>
      </c>
      <c r="H117" s="4">
        <v>3.97</v>
      </c>
      <c r="I117" s="4" t="s">
        <v>98</v>
      </c>
      <c r="J117" s="4">
        <v>28</v>
      </c>
      <c r="K117" s="5">
        <v>42066</v>
      </c>
      <c r="L117" s="4" t="s">
        <v>61</v>
      </c>
      <c r="M117" s="4"/>
      <c r="N117" s="4">
        <v>26</v>
      </c>
      <c r="O117" s="4">
        <v>15</v>
      </c>
    </row>
    <row r="118" spans="1:15" x14ac:dyDescent="0.25">
      <c r="A118" s="2" t="s">
        <v>363</v>
      </c>
      <c r="B118" s="2" t="s">
        <v>361</v>
      </c>
      <c r="C118" s="2" t="s">
        <v>9</v>
      </c>
      <c r="D118" s="2">
        <v>4.8</v>
      </c>
      <c r="E118" s="2">
        <v>10232</v>
      </c>
      <c r="F118" s="2" t="s">
        <v>24</v>
      </c>
      <c r="G118" s="2" t="s">
        <v>64</v>
      </c>
      <c r="H118" s="2">
        <v>9.99</v>
      </c>
      <c r="I118" s="2" t="s">
        <v>12</v>
      </c>
      <c r="J118" s="2">
        <v>88</v>
      </c>
      <c r="K118" s="3">
        <v>45434</v>
      </c>
      <c r="L118" s="2" t="s">
        <v>77</v>
      </c>
      <c r="M118" s="2"/>
      <c r="N118" s="2">
        <v>30</v>
      </c>
      <c r="O118" s="2">
        <v>10</v>
      </c>
    </row>
    <row r="119" spans="1:15" x14ac:dyDescent="0.25">
      <c r="A119" s="4" t="s">
        <v>184</v>
      </c>
      <c r="B119" s="4" t="s">
        <v>85</v>
      </c>
      <c r="C119" s="4" t="s">
        <v>9</v>
      </c>
      <c r="D119" s="4">
        <v>4.8</v>
      </c>
      <c r="E119" s="4">
        <v>287325</v>
      </c>
      <c r="F119" s="4" t="s">
        <v>24</v>
      </c>
      <c r="G119" s="4" t="s">
        <v>185</v>
      </c>
      <c r="H119" s="4">
        <v>12.16</v>
      </c>
      <c r="I119" s="4" t="s">
        <v>12</v>
      </c>
      <c r="J119" s="4">
        <v>656</v>
      </c>
      <c r="K119" s="5">
        <v>43984</v>
      </c>
      <c r="L119" s="4" t="s">
        <v>17</v>
      </c>
      <c r="M119" s="4"/>
      <c r="N119" s="4">
        <v>32</v>
      </c>
      <c r="O119" s="4"/>
    </row>
    <row r="120" spans="1:15" x14ac:dyDescent="0.25">
      <c r="A120" s="2" t="s">
        <v>364</v>
      </c>
      <c r="B120" s="2" t="s">
        <v>361</v>
      </c>
      <c r="C120" s="2" t="s">
        <v>9</v>
      </c>
      <c r="D120" s="2">
        <v>4.8</v>
      </c>
      <c r="E120" s="2">
        <v>6869</v>
      </c>
      <c r="F120" s="2" t="s">
        <v>24</v>
      </c>
      <c r="G120" s="2" t="s">
        <v>64</v>
      </c>
      <c r="H120" s="2">
        <v>9.99</v>
      </c>
      <c r="I120" s="2" t="s">
        <v>365</v>
      </c>
      <c r="J120" s="2">
        <v>110</v>
      </c>
      <c r="K120" s="3">
        <v>45416</v>
      </c>
      <c r="L120" s="2" t="s">
        <v>77</v>
      </c>
      <c r="M120" s="2"/>
      <c r="N120" s="2">
        <v>34</v>
      </c>
      <c r="O120" s="2">
        <v>11</v>
      </c>
    </row>
    <row r="121" spans="1:15" x14ac:dyDescent="0.25">
      <c r="A121" s="4" t="s">
        <v>366</v>
      </c>
      <c r="B121" s="4" t="s">
        <v>367</v>
      </c>
      <c r="C121" s="4" t="s">
        <v>32</v>
      </c>
      <c r="D121" s="4">
        <v>4.5999999999999996</v>
      </c>
      <c r="E121" s="4">
        <v>22994</v>
      </c>
      <c r="F121" s="4" t="s">
        <v>10</v>
      </c>
      <c r="G121" s="4" t="s">
        <v>368</v>
      </c>
      <c r="H121" s="4">
        <v>12.54</v>
      </c>
      <c r="I121" s="4" t="s">
        <v>12</v>
      </c>
      <c r="J121" s="4">
        <v>192</v>
      </c>
      <c r="K121" s="5">
        <v>45594</v>
      </c>
      <c r="L121" s="4" t="s">
        <v>13</v>
      </c>
      <c r="M121" s="4"/>
      <c r="N121" s="4">
        <v>35</v>
      </c>
      <c r="O121" s="4">
        <v>28</v>
      </c>
    </row>
    <row r="122" spans="1:15" x14ac:dyDescent="0.25">
      <c r="A122" s="2" t="s">
        <v>369</v>
      </c>
      <c r="B122" s="2" t="s">
        <v>370</v>
      </c>
      <c r="C122" s="2" t="s">
        <v>9</v>
      </c>
      <c r="D122" s="2">
        <v>4.8</v>
      </c>
      <c r="E122" s="2">
        <v>6058</v>
      </c>
      <c r="F122" s="2" t="s">
        <v>10</v>
      </c>
      <c r="G122" s="2" t="s">
        <v>371</v>
      </c>
      <c r="H122" s="2">
        <v>14.06</v>
      </c>
      <c r="I122" s="2" t="s">
        <v>130</v>
      </c>
      <c r="J122" s="2">
        <v>208</v>
      </c>
      <c r="K122" s="3">
        <v>45496</v>
      </c>
      <c r="L122" s="2" t="s">
        <v>61</v>
      </c>
      <c r="M122" s="2"/>
      <c r="N122" s="2">
        <v>38</v>
      </c>
      <c r="O122" s="2"/>
    </row>
    <row r="123" spans="1:15" x14ac:dyDescent="0.25">
      <c r="A123" s="4" t="s">
        <v>372</v>
      </c>
      <c r="B123" s="4" t="s">
        <v>373</v>
      </c>
      <c r="C123" s="4" t="s">
        <v>15</v>
      </c>
      <c r="D123" s="4">
        <v>4.7</v>
      </c>
      <c r="E123" s="4">
        <v>30755</v>
      </c>
      <c r="F123" s="4" t="s">
        <v>24</v>
      </c>
      <c r="G123" s="4" t="s">
        <v>173</v>
      </c>
      <c r="H123" s="4">
        <v>2.7</v>
      </c>
      <c r="I123" s="4" t="s">
        <v>12</v>
      </c>
      <c r="J123" s="4">
        <v>208</v>
      </c>
      <c r="K123" s="5">
        <v>43872</v>
      </c>
      <c r="L123" s="4" t="s">
        <v>374</v>
      </c>
      <c r="M123" s="4"/>
      <c r="N123" s="4">
        <v>39</v>
      </c>
      <c r="O123" s="4">
        <v>41</v>
      </c>
    </row>
    <row r="124" spans="1:15" x14ac:dyDescent="0.25">
      <c r="A124" s="2" t="s">
        <v>375</v>
      </c>
      <c r="B124" s="2" t="s">
        <v>376</v>
      </c>
      <c r="C124" s="2" t="s">
        <v>32</v>
      </c>
      <c r="D124" s="2">
        <v>4.5999999999999996</v>
      </c>
      <c r="E124" s="2">
        <v>95147</v>
      </c>
      <c r="F124" s="2" t="s">
        <v>10</v>
      </c>
      <c r="G124" s="2" t="s">
        <v>377</v>
      </c>
      <c r="H124" s="2">
        <v>16.809999999999999</v>
      </c>
      <c r="I124" s="2" t="s">
        <v>12</v>
      </c>
      <c r="J124" s="2">
        <v>320</v>
      </c>
      <c r="K124" s="3">
        <v>45370</v>
      </c>
      <c r="L124" s="2" t="s">
        <v>37</v>
      </c>
      <c r="M124" s="2"/>
      <c r="N124" s="2">
        <v>42</v>
      </c>
      <c r="O124" s="2">
        <v>60</v>
      </c>
    </row>
    <row r="125" spans="1:15" x14ac:dyDescent="0.25">
      <c r="A125" s="4" t="s">
        <v>282</v>
      </c>
      <c r="B125" s="4" t="s">
        <v>85</v>
      </c>
      <c r="C125" s="4" t="s">
        <v>15</v>
      </c>
      <c r="D125" s="4">
        <v>4.7</v>
      </c>
      <c r="E125" s="4">
        <v>269981</v>
      </c>
      <c r="F125" s="4" t="s">
        <v>24</v>
      </c>
      <c r="G125" s="4" t="s">
        <v>283</v>
      </c>
      <c r="H125" s="4">
        <v>12.81</v>
      </c>
      <c r="I125" s="4" t="s">
        <v>12</v>
      </c>
      <c r="J125" s="4">
        <v>736</v>
      </c>
      <c r="K125" s="5">
        <v>43984</v>
      </c>
      <c r="L125" s="4" t="s">
        <v>17</v>
      </c>
      <c r="M125" s="4"/>
      <c r="N125" s="4">
        <v>44</v>
      </c>
      <c r="O125" s="4"/>
    </row>
    <row r="126" spans="1:15" x14ac:dyDescent="0.25">
      <c r="A126" s="2" t="s">
        <v>55</v>
      </c>
      <c r="B126" s="2" t="s">
        <v>56</v>
      </c>
      <c r="C126" s="2" t="s">
        <v>57</v>
      </c>
      <c r="D126" s="2">
        <v>4.9000000000000004</v>
      </c>
      <c r="E126" s="2">
        <v>78436</v>
      </c>
      <c r="F126" s="2" t="s">
        <v>58</v>
      </c>
      <c r="G126" s="2" t="s">
        <v>59</v>
      </c>
      <c r="H126" s="2">
        <v>5.75</v>
      </c>
      <c r="I126" s="2" t="s">
        <v>60</v>
      </c>
      <c r="J126" s="2">
        <v>26</v>
      </c>
      <c r="K126" s="3">
        <v>34416</v>
      </c>
      <c r="L126" s="2" t="s">
        <v>61</v>
      </c>
      <c r="M126" s="2"/>
      <c r="N126" s="2">
        <v>46</v>
      </c>
      <c r="O126" s="2"/>
    </row>
    <row r="127" spans="1:15" x14ac:dyDescent="0.25">
      <c r="A127" s="4" t="s">
        <v>378</v>
      </c>
      <c r="B127" s="4" t="s">
        <v>361</v>
      </c>
      <c r="C127" s="4" t="s">
        <v>9</v>
      </c>
      <c r="D127" s="4">
        <v>4.8</v>
      </c>
      <c r="E127" s="4">
        <v>6443</v>
      </c>
      <c r="F127" s="4" t="s">
        <v>24</v>
      </c>
      <c r="G127" s="4" t="s">
        <v>64</v>
      </c>
      <c r="H127" s="4">
        <v>9.99</v>
      </c>
      <c r="I127" s="4" t="s">
        <v>12</v>
      </c>
      <c r="J127" s="4">
        <v>88</v>
      </c>
      <c r="K127" s="5">
        <v>45482</v>
      </c>
      <c r="L127" s="4" t="s">
        <v>77</v>
      </c>
      <c r="M127" s="4"/>
      <c r="N127" s="4">
        <v>48</v>
      </c>
      <c r="O127" s="4">
        <v>69</v>
      </c>
    </row>
    <row r="128" spans="1:15" x14ac:dyDescent="0.25">
      <c r="A128" s="2" t="s">
        <v>379</v>
      </c>
      <c r="B128" s="2" t="s">
        <v>380</v>
      </c>
      <c r="C128" s="2" t="s">
        <v>15</v>
      </c>
      <c r="D128" s="2">
        <v>4.7</v>
      </c>
      <c r="E128" s="2">
        <v>4255</v>
      </c>
      <c r="F128" s="2" t="s">
        <v>10</v>
      </c>
      <c r="G128" s="2" t="s">
        <v>381</v>
      </c>
      <c r="H128" s="2">
        <v>19.579999999999998</v>
      </c>
      <c r="I128" s="2" t="s">
        <v>12</v>
      </c>
      <c r="J128" s="2">
        <v>320</v>
      </c>
      <c r="K128" s="3">
        <v>45412</v>
      </c>
      <c r="L128" s="2" t="s">
        <v>42</v>
      </c>
      <c r="M128" s="2"/>
      <c r="N128" s="2">
        <v>50</v>
      </c>
      <c r="O128" s="2">
        <v>74</v>
      </c>
    </row>
    <row r="129" spans="1:15" x14ac:dyDescent="0.25">
      <c r="A129" s="4" t="s">
        <v>382</v>
      </c>
      <c r="B129" s="4" t="s">
        <v>52</v>
      </c>
      <c r="C129" s="4" t="s">
        <v>15</v>
      </c>
      <c r="D129" s="4">
        <v>4.7</v>
      </c>
      <c r="E129" s="4">
        <v>303204</v>
      </c>
      <c r="F129" s="4" t="s">
        <v>24</v>
      </c>
      <c r="G129" s="4" t="s">
        <v>383</v>
      </c>
      <c r="H129" s="4">
        <v>7.15</v>
      </c>
      <c r="I129" s="4" t="s">
        <v>12</v>
      </c>
      <c r="J129" s="4">
        <v>304</v>
      </c>
      <c r="K129" s="5">
        <v>45265</v>
      </c>
      <c r="L129" s="4" t="s">
        <v>54</v>
      </c>
      <c r="M129" s="4"/>
      <c r="N129" s="4">
        <v>51</v>
      </c>
      <c r="O129" s="4"/>
    </row>
    <row r="130" spans="1:15" x14ac:dyDescent="0.25">
      <c r="A130" s="2" t="s">
        <v>384</v>
      </c>
      <c r="B130" s="2" t="s">
        <v>385</v>
      </c>
      <c r="C130" s="2" t="s">
        <v>15</v>
      </c>
      <c r="D130" s="2">
        <v>4.7</v>
      </c>
      <c r="E130" s="2">
        <v>25729</v>
      </c>
      <c r="F130" s="2" t="s">
        <v>24</v>
      </c>
      <c r="G130" s="2" t="s">
        <v>386</v>
      </c>
      <c r="H130" s="2">
        <v>5.44</v>
      </c>
      <c r="I130" s="2" t="s">
        <v>355</v>
      </c>
      <c r="J130" s="2">
        <v>160</v>
      </c>
      <c r="K130" s="3">
        <v>43704</v>
      </c>
      <c r="L130" s="2" t="s">
        <v>61</v>
      </c>
      <c r="M130" s="2"/>
      <c r="N130" s="2">
        <v>54</v>
      </c>
      <c r="O130" s="2">
        <v>25</v>
      </c>
    </row>
    <row r="131" spans="1:15" x14ac:dyDescent="0.25">
      <c r="A131" s="4" t="s">
        <v>387</v>
      </c>
      <c r="B131" s="4" t="s">
        <v>388</v>
      </c>
      <c r="C131" s="4" t="s">
        <v>20</v>
      </c>
      <c r="D131" s="4">
        <v>4.5</v>
      </c>
      <c r="E131" s="4">
        <v>15013</v>
      </c>
      <c r="F131" s="4" t="s">
        <v>10</v>
      </c>
      <c r="G131" s="4" t="s">
        <v>389</v>
      </c>
      <c r="H131" s="4">
        <v>16.489999999999998</v>
      </c>
      <c r="I131" s="4" t="s">
        <v>12</v>
      </c>
      <c r="J131" s="4">
        <v>592</v>
      </c>
      <c r="K131" s="5">
        <v>45412</v>
      </c>
      <c r="L131" s="4" t="s">
        <v>22</v>
      </c>
      <c r="M131" s="4"/>
      <c r="N131" s="4">
        <v>55</v>
      </c>
      <c r="O131" s="4"/>
    </row>
    <row r="132" spans="1:15" x14ac:dyDescent="0.25">
      <c r="A132" s="2" t="s">
        <v>390</v>
      </c>
      <c r="B132" s="2" t="s">
        <v>391</v>
      </c>
      <c r="C132" s="2" t="s">
        <v>32</v>
      </c>
      <c r="D132" s="2">
        <v>4.5999999999999996</v>
      </c>
      <c r="E132" s="2">
        <v>34573</v>
      </c>
      <c r="F132" s="2" t="s">
        <v>24</v>
      </c>
      <c r="G132" s="2" t="s">
        <v>64</v>
      </c>
      <c r="H132" s="2">
        <v>9.99</v>
      </c>
      <c r="I132" s="2" t="s">
        <v>94</v>
      </c>
      <c r="J132" s="2">
        <v>79</v>
      </c>
      <c r="K132" s="3">
        <v>42872</v>
      </c>
      <c r="L132" s="2" t="s">
        <v>77</v>
      </c>
      <c r="M132" s="2"/>
      <c r="N132" s="2">
        <v>56</v>
      </c>
      <c r="O132" s="2"/>
    </row>
    <row r="133" spans="1:15" x14ac:dyDescent="0.25">
      <c r="A133" s="4" t="s">
        <v>324</v>
      </c>
      <c r="B133" s="4" t="s">
        <v>85</v>
      </c>
      <c r="C133" s="4" t="s">
        <v>140</v>
      </c>
      <c r="D133" s="4">
        <v>4.2</v>
      </c>
      <c r="E133" s="4">
        <v>181184</v>
      </c>
      <c r="F133" s="4" t="s">
        <v>24</v>
      </c>
      <c r="G133" s="4" t="s">
        <v>325</v>
      </c>
      <c r="H133" s="4">
        <v>12.74</v>
      </c>
      <c r="I133" s="4" t="s">
        <v>12</v>
      </c>
      <c r="J133" s="4">
        <v>272</v>
      </c>
      <c r="K133" s="5">
        <v>43984</v>
      </c>
      <c r="L133" s="4" t="s">
        <v>17</v>
      </c>
      <c r="M133" s="4"/>
      <c r="N133" s="4">
        <v>57</v>
      </c>
      <c r="O133" s="4"/>
    </row>
    <row r="134" spans="1:15" x14ac:dyDescent="0.25">
      <c r="A134" s="2" t="s">
        <v>392</v>
      </c>
      <c r="B134" s="2" t="s">
        <v>393</v>
      </c>
      <c r="C134" s="2" t="s">
        <v>57</v>
      </c>
      <c r="D134" s="2">
        <v>4.9000000000000004</v>
      </c>
      <c r="E134" s="2">
        <v>15513</v>
      </c>
      <c r="F134" s="2" t="s">
        <v>394</v>
      </c>
      <c r="G134" s="2" t="s">
        <v>395</v>
      </c>
      <c r="H134" s="2">
        <v>25.64</v>
      </c>
      <c r="I134" s="2" t="s">
        <v>12</v>
      </c>
      <c r="J134" s="2">
        <v>1400</v>
      </c>
      <c r="K134" s="3">
        <v>43891</v>
      </c>
      <c r="L134" s="2" t="s">
        <v>374</v>
      </c>
      <c r="M134" s="2"/>
      <c r="N134" s="2">
        <v>58</v>
      </c>
      <c r="O134" s="2"/>
    </row>
    <row r="135" spans="1:15" x14ac:dyDescent="0.25">
      <c r="A135" s="4" t="s">
        <v>396</v>
      </c>
      <c r="B135" s="4" t="s">
        <v>397</v>
      </c>
      <c r="C135" s="4" t="s">
        <v>15</v>
      </c>
      <c r="D135" s="4">
        <v>4.7</v>
      </c>
      <c r="E135" s="4">
        <v>23656</v>
      </c>
      <c r="F135" s="4" t="s">
        <v>24</v>
      </c>
      <c r="G135" s="4" t="s">
        <v>398</v>
      </c>
      <c r="H135" s="4">
        <v>36</v>
      </c>
      <c r="I135" s="4" t="s">
        <v>12</v>
      </c>
      <c r="J135" s="4">
        <v>304</v>
      </c>
      <c r="K135" s="5">
        <v>43466</v>
      </c>
      <c r="L135" s="4" t="s">
        <v>42</v>
      </c>
      <c r="M135" s="4"/>
      <c r="N135" s="4">
        <v>59</v>
      </c>
      <c r="O135" s="4"/>
    </row>
    <row r="136" spans="1:15" x14ac:dyDescent="0.25">
      <c r="A136" s="2" t="s">
        <v>399</v>
      </c>
      <c r="B136" s="2" t="s">
        <v>85</v>
      </c>
      <c r="C136" s="2" t="s">
        <v>9</v>
      </c>
      <c r="D136" s="2">
        <v>4.8</v>
      </c>
      <c r="E136" s="2">
        <v>246467</v>
      </c>
      <c r="F136" s="2" t="s">
        <v>24</v>
      </c>
      <c r="G136" s="2" t="s">
        <v>400</v>
      </c>
      <c r="H136" s="2">
        <v>9.98</v>
      </c>
      <c r="I136" s="2" t="s">
        <v>12</v>
      </c>
      <c r="J136" s="2">
        <v>784</v>
      </c>
      <c r="K136" s="3">
        <v>44810</v>
      </c>
      <c r="L136" s="2" t="s">
        <v>17</v>
      </c>
      <c r="M136" s="2"/>
      <c r="N136" s="2">
        <v>61</v>
      </c>
      <c r="O136" s="2"/>
    </row>
    <row r="137" spans="1:15" x14ac:dyDescent="0.25">
      <c r="A137" s="4" t="s">
        <v>401</v>
      </c>
      <c r="B137" s="4" t="s">
        <v>402</v>
      </c>
      <c r="C137" s="4" t="s">
        <v>179</v>
      </c>
      <c r="D137" s="4">
        <v>4.3</v>
      </c>
      <c r="E137" s="4">
        <v>100479</v>
      </c>
      <c r="F137" s="4" t="s">
        <v>10</v>
      </c>
      <c r="G137" s="4" t="s">
        <v>403</v>
      </c>
      <c r="H137" s="4">
        <v>3</v>
      </c>
      <c r="I137" s="4" t="s">
        <v>12</v>
      </c>
      <c r="J137" s="4">
        <v>352</v>
      </c>
      <c r="K137" s="5">
        <v>45293</v>
      </c>
      <c r="L137" s="4" t="s">
        <v>54</v>
      </c>
      <c r="M137" s="4"/>
      <c r="N137" s="4">
        <v>62</v>
      </c>
      <c r="O137" s="4"/>
    </row>
    <row r="138" spans="1:15" x14ac:dyDescent="0.25">
      <c r="A138" s="2" t="s">
        <v>247</v>
      </c>
      <c r="B138" s="2" t="s">
        <v>248</v>
      </c>
      <c r="C138" s="2" t="s">
        <v>15</v>
      </c>
      <c r="D138" s="2">
        <v>4.7</v>
      </c>
      <c r="E138" s="2">
        <v>109703</v>
      </c>
      <c r="F138" s="2" t="s">
        <v>24</v>
      </c>
      <c r="G138" s="2" t="s">
        <v>249</v>
      </c>
      <c r="H138" s="2">
        <v>15.44</v>
      </c>
      <c r="I138" s="2" t="s">
        <v>12</v>
      </c>
      <c r="J138" s="2">
        <v>320</v>
      </c>
      <c r="K138" s="3">
        <v>36069</v>
      </c>
      <c r="L138" s="2" t="s">
        <v>13</v>
      </c>
      <c r="M138" s="2"/>
      <c r="N138" s="2">
        <v>63</v>
      </c>
      <c r="O138" s="2"/>
    </row>
    <row r="139" spans="1:15" x14ac:dyDescent="0.25">
      <c r="A139" s="4" t="s">
        <v>250</v>
      </c>
      <c r="B139" s="4" t="s">
        <v>251</v>
      </c>
      <c r="C139" s="4" t="s">
        <v>9</v>
      </c>
      <c r="D139" s="4">
        <v>4.8</v>
      </c>
      <c r="E139" s="4">
        <v>25279</v>
      </c>
      <c r="F139" s="4" t="s">
        <v>10</v>
      </c>
      <c r="G139" s="4" t="s">
        <v>180</v>
      </c>
      <c r="H139" s="4">
        <v>9.4</v>
      </c>
      <c r="I139" s="4" t="s">
        <v>94</v>
      </c>
      <c r="J139" s="4">
        <v>208</v>
      </c>
      <c r="K139" s="5">
        <v>43389</v>
      </c>
      <c r="L139" s="4" t="s">
        <v>116</v>
      </c>
      <c r="M139" s="4"/>
      <c r="N139" s="4">
        <v>64</v>
      </c>
      <c r="O139" s="4"/>
    </row>
    <row r="140" spans="1:15" x14ac:dyDescent="0.25">
      <c r="A140" s="2" t="s">
        <v>404</v>
      </c>
      <c r="B140" s="2" t="s">
        <v>52</v>
      </c>
      <c r="C140" s="2" t="s">
        <v>179</v>
      </c>
      <c r="D140" s="2">
        <v>4.3</v>
      </c>
      <c r="E140" s="2">
        <v>243379</v>
      </c>
      <c r="F140" s="2" t="s">
        <v>24</v>
      </c>
      <c r="G140" s="2" t="s">
        <v>405</v>
      </c>
      <c r="H140" s="2">
        <v>9.5299999999999994</v>
      </c>
      <c r="I140" s="2" t="s">
        <v>12</v>
      </c>
      <c r="J140" s="2">
        <v>400</v>
      </c>
      <c r="K140" s="3">
        <v>45328</v>
      </c>
      <c r="L140" s="2" t="s">
        <v>54</v>
      </c>
      <c r="M140" s="2"/>
      <c r="N140" s="2">
        <v>65</v>
      </c>
      <c r="O140" s="2"/>
    </row>
    <row r="141" spans="1:15" x14ac:dyDescent="0.25">
      <c r="A141" s="4" t="s">
        <v>406</v>
      </c>
      <c r="B141" s="4" t="s">
        <v>407</v>
      </c>
      <c r="C141" s="4" t="s">
        <v>32</v>
      </c>
      <c r="D141" s="4">
        <v>4.5999999999999996</v>
      </c>
      <c r="E141" s="4">
        <v>145297</v>
      </c>
      <c r="F141" s="4" t="s">
        <v>24</v>
      </c>
      <c r="G141" s="4" t="s">
        <v>173</v>
      </c>
      <c r="H141" s="4">
        <v>2.7</v>
      </c>
      <c r="I141" s="4" t="s">
        <v>12</v>
      </c>
      <c r="J141" s="4">
        <v>432</v>
      </c>
      <c r="K141" s="5">
        <v>45384</v>
      </c>
      <c r="L141" s="4" t="s">
        <v>17</v>
      </c>
      <c r="M141" s="4"/>
      <c r="N141" s="4">
        <v>66</v>
      </c>
      <c r="O141" s="4"/>
    </row>
    <row r="142" spans="1:15" x14ac:dyDescent="0.25">
      <c r="A142" s="2" t="s">
        <v>408</v>
      </c>
      <c r="B142" s="2" t="s">
        <v>409</v>
      </c>
      <c r="C142" s="2" t="s">
        <v>9</v>
      </c>
      <c r="D142" s="2">
        <v>4.8</v>
      </c>
      <c r="E142" s="2">
        <v>5807</v>
      </c>
      <c r="F142" s="2" t="s">
        <v>24</v>
      </c>
      <c r="G142" s="2" t="s">
        <v>410</v>
      </c>
      <c r="H142" s="2">
        <v>9.6300000000000008</v>
      </c>
      <c r="I142" s="2" t="s">
        <v>12</v>
      </c>
      <c r="J142" s="2">
        <v>88</v>
      </c>
      <c r="K142" s="3">
        <v>45436</v>
      </c>
      <c r="L142" s="2" t="s">
        <v>77</v>
      </c>
      <c r="M142" s="2"/>
      <c r="N142" s="2">
        <v>67</v>
      </c>
      <c r="O142" s="2">
        <v>95</v>
      </c>
    </row>
    <row r="143" spans="1:15" x14ac:dyDescent="0.25">
      <c r="A143" s="4" t="s">
        <v>411</v>
      </c>
      <c r="B143" s="4" t="s">
        <v>412</v>
      </c>
      <c r="C143" s="4" t="s">
        <v>20</v>
      </c>
      <c r="D143" s="4">
        <v>4.5</v>
      </c>
      <c r="E143" s="4">
        <v>97696</v>
      </c>
      <c r="F143" s="4" t="s">
        <v>10</v>
      </c>
      <c r="G143" s="4" t="s">
        <v>413</v>
      </c>
      <c r="H143" s="4">
        <v>15.79</v>
      </c>
      <c r="I143" s="4" t="s">
        <v>12</v>
      </c>
      <c r="J143" s="4">
        <v>608</v>
      </c>
      <c r="K143" s="5">
        <v>45468</v>
      </c>
      <c r="L143" s="4" t="s">
        <v>54</v>
      </c>
      <c r="M143" s="4"/>
      <c r="N143" s="4">
        <v>68</v>
      </c>
      <c r="O143" s="4"/>
    </row>
    <row r="144" spans="1:15" x14ac:dyDescent="0.25">
      <c r="A144" s="2" t="s">
        <v>414</v>
      </c>
      <c r="B144" s="2" t="s">
        <v>415</v>
      </c>
      <c r="C144" s="2" t="s">
        <v>32</v>
      </c>
      <c r="D144" s="2">
        <v>4.5999999999999996</v>
      </c>
      <c r="E144" s="2">
        <v>36122</v>
      </c>
      <c r="F144" s="2" t="s">
        <v>10</v>
      </c>
      <c r="G144" s="2" t="s">
        <v>244</v>
      </c>
      <c r="H144" s="2">
        <v>9.33</v>
      </c>
      <c r="I144" s="2" t="s">
        <v>12</v>
      </c>
      <c r="J144" s="2">
        <v>336</v>
      </c>
      <c r="K144" s="3">
        <v>45650</v>
      </c>
      <c r="L144" s="2" t="s">
        <v>13</v>
      </c>
      <c r="M144" s="2"/>
      <c r="N144" s="2">
        <v>69</v>
      </c>
      <c r="O144" s="2">
        <v>1</v>
      </c>
    </row>
    <row r="145" spans="1:15" x14ac:dyDescent="0.25">
      <c r="A145" s="4" t="s">
        <v>416</v>
      </c>
      <c r="B145" s="4" t="s">
        <v>417</v>
      </c>
      <c r="C145" s="4" t="s">
        <v>9</v>
      </c>
      <c r="D145" s="4">
        <v>4.8</v>
      </c>
      <c r="E145" s="4">
        <v>5959</v>
      </c>
      <c r="F145" s="4" t="s">
        <v>24</v>
      </c>
      <c r="G145" s="4" t="s">
        <v>418</v>
      </c>
      <c r="H145" s="4">
        <v>12.84</v>
      </c>
      <c r="I145" s="4" t="s">
        <v>12</v>
      </c>
      <c r="J145" s="4">
        <v>386</v>
      </c>
      <c r="K145" s="5">
        <v>45090</v>
      </c>
      <c r="L145" s="4" t="s">
        <v>90</v>
      </c>
      <c r="M145" s="4"/>
      <c r="N145" s="4">
        <v>71</v>
      </c>
      <c r="O145" s="4">
        <v>38</v>
      </c>
    </row>
    <row r="146" spans="1:15" x14ac:dyDescent="0.25">
      <c r="A146" s="2" t="s">
        <v>419</v>
      </c>
      <c r="B146" s="2" t="s">
        <v>420</v>
      </c>
      <c r="C146" s="2" t="s">
        <v>57</v>
      </c>
      <c r="D146" s="2">
        <v>4.9000000000000004</v>
      </c>
      <c r="E146" s="2">
        <v>7914</v>
      </c>
      <c r="F146" s="2" t="s">
        <v>58</v>
      </c>
      <c r="G146" s="2" t="s">
        <v>421</v>
      </c>
      <c r="H146" s="2">
        <v>1</v>
      </c>
      <c r="I146" s="2" t="s">
        <v>12</v>
      </c>
      <c r="J146" s="2">
        <v>20</v>
      </c>
      <c r="K146" s="3">
        <v>42626</v>
      </c>
      <c r="L146" s="2" t="s">
        <v>61</v>
      </c>
      <c r="M146" s="2"/>
      <c r="N146" s="2">
        <v>72</v>
      </c>
      <c r="O146" s="2"/>
    </row>
    <row r="147" spans="1:15" x14ac:dyDescent="0.25">
      <c r="A147" s="4" t="s">
        <v>422</v>
      </c>
      <c r="B147" s="4" t="s">
        <v>423</v>
      </c>
      <c r="C147" s="4" t="s">
        <v>9</v>
      </c>
      <c r="D147" s="4">
        <v>4.8</v>
      </c>
      <c r="E147" s="4">
        <v>10381</v>
      </c>
      <c r="F147" s="4" t="s">
        <v>58</v>
      </c>
      <c r="G147" s="4" t="s">
        <v>424</v>
      </c>
      <c r="H147" s="4">
        <v>5.18</v>
      </c>
      <c r="I147" s="4" t="s">
        <v>130</v>
      </c>
      <c r="J147" s="4">
        <v>18</v>
      </c>
      <c r="K147" s="5">
        <v>43375</v>
      </c>
      <c r="L147" s="4" t="s">
        <v>61</v>
      </c>
      <c r="M147" s="4"/>
      <c r="N147" s="4">
        <v>74</v>
      </c>
      <c r="O147" s="4"/>
    </row>
    <row r="148" spans="1:15" x14ac:dyDescent="0.25">
      <c r="A148" s="2" t="s">
        <v>308</v>
      </c>
      <c r="B148" s="2" t="s">
        <v>309</v>
      </c>
      <c r="C148" s="2" t="s">
        <v>9</v>
      </c>
      <c r="D148" s="2">
        <v>4.8</v>
      </c>
      <c r="E148" s="2">
        <v>30260</v>
      </c>
      <c r="F148" s="2" t="s">
        <v>24</v>
      </c>
      <c r="G148" s="2" t="s">
        <v>310</v>
      </c>
      <c r="H148" s="2">
        <v>9.43</v>
      </c>
      <c r="I148" s="2" t="s">
        <v>12</v>
      </c>
      <c r="J148" s="2">
        <v>656</v>
      </c>
      <c r="K148" s="3">
        <v>42521</v>
      </c>
      <c r="L148" s="2" t="s">
        <v>42</v>
      </c>
      <c r="M148" s="2"/>
      <c r="N148" s="2">
        <v>76</v>
      </c>
      <c r="O148" s="2"/>
    </row>
    <row r="149" spans="1:15" x14ac:dyDescent="0.25">
      <c r="A149" s="4" t="s">
        <v>425</v>
      </c>
      <c r="B149" s="4" t="s">
        <v>426</v>
      </c>
      <c r="C149" s="4" t="s">
        <v>32</v>
      </c>
      <c r="D149" s="4">
        <v>4.5999999999999996</v>
      </c>
      <c r="E149" s="4">
        <v>13716</v>
      </c>
      <c r="F149" s="4" t="s">
        <v>10</v>
      </c>
      <c r="G149" s="4" t="s">
        <v>427</v>
      </c>
      <c r="H149" s="4">
        <v>13.73</v>
      </c>
      <c r="I149" s="4" t="s">
        <v>12</v>
      </c>
      <c r="J149" s="4">
        <v>320</v>
      </c>
      <c r="K149" s="5">
        <v>45566</v>
      </c>
      <c r="L149" s="4" t="s">
        <v>22</v>
      </c>
      <c r="M149" s="4"/>
      <c r="N149" s="4">
        <v>77</v>
      </c>
      <c r="O149" s="4"/>
    </row>
    <row r="150" spans="1:15" x14ac:dyDescent="0.25">
      <c r="A150" s="2" t="s">
        <v>428</v>
      </c>
      <c r="B150" s="2" t="s">
        <v>429</v>
      </c>
      <c r="C150" s="2" t="s">
        <v>9</v>
      </c>
      <c r="D150" s="2">
        <v>4.8</v>
      </c>
      <c r="E150" s="2">
        <v>17396</v>
      </c>
      <c r="F150" s="2" t="s">
        <v>10</v>
      </c>
      <c r="G150" s="2" t="s">
        <v>430</v>
      </c>
      <c r="H150" s="2">
        <v>9.49</v>
      </c>
      <c r="I150" s="2" t="s">
        <v>130</v>
      </c>
      <c r="J150" s="2">
        <v>64</v>
      </c>
      <c r="K150" s="3">
        <v>21774</v>
      </c>
      <c r="L150" s="2" t="s">
        <v>61</v>
      </c>
      <c r="M150" s="2"/>
      <c r="N150" s="2">
        <v>78</v>
      </c>
      <c r="O150" s="2">
        <v>83</v>
      </c>
    </row>
    <row r="151" spans="1:15" x14ac:dyDescent="0.25">
      <c r="A151" s="4" t="s">
        <v>338</v>
      </c>
      <c r="B151" s="4" t="s">
        <v>339</v>
      </c>
      <c r="C151" s="4" t="s">
        <v>15</v>
      </c>
      <c r="D151" s="4">
        <v>4.7</v>
      </c>
      <c r="E151" s="4">
        <v>13431</v>
      </c>
      <c r="F151" s="4" t="s">
        <v>24</v>
      </c>
      <c r="G151" s="4" t="s">
        <v>340</v>
      </c>
      <c r="H151" s="4">
        <v>8.7899999999999991</v>
      </c>
      <c r="I151" s="4" t="s">
        <v>12</v>
      </c>
      <c r="J151" s="4">
        <v>110</v>
      </c>
      <c r="K151" s="5">
        <v>43612</v>
      </c>
      <c r="L151" s="4" t="s">
        <v>77</v>
      </c>
      <c r="M151" s="4"/>
      <c r="N151" s="4">
        <v>80</v>
      </c>
      <c r="O151" s="4">
        <v>20</v>
      </c>
    </row>
    <row r="152" spans="1:15" x14ac:dyDescent="0.25">
      <c r="A152" s="2" t="s">
        <v>431</v>
      </c>
      <c r="B152" s="2" t="s">
        <v>432</v>
      </c>
      <c r="C152" s="2" t="s">
        <v>9</v>
      </c>
      <c r="D152" s="2">
        <v>4.8</v>
      </c>
      <c r="E152" s="2">
        <v>8150</v>
      </c>
      <c r="F152" s="2" t="s">
        <v>58</v>
      </c>
      <c r="G152" s="2" t="s">
        <v>433</v>
      </c>
      <c r="H152" s="2">
        <v>4.7</v>
      </c>
      <c r="I152" s="2" t="s">
        <v>134</v>
      </c>
      <c r="J152" s="2">
        <v>12</v>
      </c>
      <c r="K152" s="3">
        <v>36187</v>
      </c>
      <c r="L152" s="2" t="s">
        <v>61</v>
      </c>
      <c r="M152" s="2"/>
      <c r="N152" s="2">
        <v>81</v>
      </c>
      <c r="O152" s="2">
        <v>31</v>
      </c>
    </row>
    <row r="153" spans="1:15" x14ac:dyDescent="0.25">
      <c r="A153" s="4" t="s">
        <v>434</v>
      </c>
      <c r="B153" s="4" t="s">
        <v>435</v>
      </c>
      <c r="C153" s="4" t="s">
        <v>15</v>
      </c>
      <c r="D153" s="4">
        <v>4.7</v>
      </c>
      <c r="E153" s="4">
        <v>31249</v>
      </c>
      <c r="F153" s="4" t="s">
        <v>10</v>
      </c>
      <c r="G153" s="4" t="s">
        <v>436</v>
      </c>
      <c r="H153" s="4">
        <v>19.989999999999998</v>
      </c>
      <c r="I153" s="4" t="s">
        <v>12</v>
      </c>
      <c r="J153" s="4">
        <v>1344</v>
      </c>
      <c r="K153" s="5">
        <v>45632</v>
      </c>
      <c r="L153" s="4" t="s">
        <v>17</v>
      </c>
      <c r="M153" s="4"/>
      <c r="N153" s="4">
        <v>82</v>
      </c>
      <c r="O153" s="4"/>
    </row>
    <row r="154" spans="1:15" x14ac:dyDescent="0.25">
      <c r="A154" s="2" t="s">
        <v>437</v>
      </c>
      <c r="B154" s="2" t="s">
        <v>139</v>
      </c>
      <c r="C154" s="2" t="s">
        <v>179</v>
      </c>
      <c r="D154" s="2">
        <v>4.3</v>
      </c>
      <c r="E154" s="2">
        <v>14292</v>
      </c>
      <c r="F154" s="2" t="s">
        <v>24</v>
      </c>
      <c r="G154" s="2" t="s">
        <v>438</v>
      </c>
      <c r="H154" s="2">
        <v>6.34</v>
      </c>
      <c r="I154" s="2" t="s">
        <v>439</v>
      </c>
      <c r="J154" s="2">
        <v>416</v>
      </c>
      <c r="K154" s="3">
        <v>45328</v>
      </c>
      <c r="L154" s="2" t="s">
        <v>17</v>
      </c>
      <c r="M154" s="2"/>
      <c r="N154" s="2">
        <v>83</v>
      </c>
      <c r="O154" s="2"/>
    </row>
    <row r="155" spans="1:15" x14ac:dyDescent="0.25">
      <c r="A155" s="4" t="s">
        <v>440</v>
      </c>
      <c r="B155" s="4" t="s">
        <v>441</v>
      </c>
      <c r="C155" s="4" t="s">
        <v>32</v>
      </c>
      <c r="D155" s="4">
        <v>4.5999999999999996</v>
      </c>
      <c r="E155" s="4">
        <v>58611</v>
      </c>
      <c r="F155" s="4" t="s">
        <v>24</v>
      </c>
      <c r="G155" s="4" t="s">
        <v>442</v>
      </c>
      <c r="H155" s="4">
        <v>9.0500000000000007</v>
      </c>
      <c r="I155" s="4" t="s">
        <v>439</v>
      </c>
      <c r="J155" s="4">
        <v>249</v>
      </c>
      <c r="K155" s="5">
        <v>40918</v>
      </c>
      <c r="L155" s="4" t="s">
        <v>37</v>
      </c>
      <c r="M155" s="4"/>
      <c r="N155" s="4">
        <v>84</v>
      </c>
      <c r="O155" s="4">
        <v>39</v>
      </c>
    </row>
    <row r="156" spans="1:15" x14ac:dyDescent="0.25">
      <c r="A156" s="2" t="s">
        <v>443</v>
      </c>
      <c r="B156" s="2" t="s">
        <v>444</v>
      </c>
      <c r="C156" s="2" t="s">
        <v>32</v>
      </c>
      <c r="D156" s="2">
        <v>4.5999999999999996</v>
      </c>
      <c r="E156" s="2">
        <v>122245</v>
      </c>
      <c r="F156" s="2" t="s">
        <v>24</v>
      </c>
      <c r="G156" s="2" t="s">
        <v>445</v>
      </c>
      <c r="H156" s="2">
        <v>5.99</v>
      </c>
      <c r="I156" s="2" t="s">
        <v>362</v>
      </c>
      <c r="J156" s="2">
        <v>328</v>
      </c>
      <c r="K156" s="3">
        <v>22282</v>
      </c>
      <c r="L156" s="2" t="s">
        <v>37</v>
      </c>
      <c r="M156" s="2"/>
      <c r="N156" s="2">
        <v>85</v>
      </c>
      <c r="O156" s="2">
        <v>57</v>
      </c>
    </row>
    <row r="157" spans="1:15" x14ac:dyDescent="0.25">
      <c r="A157" s="4" t="s">
        <v>446</v>
      </c>
      <c r="B157" s="4" t="s">
        <v>447</v>
      </c>
      <c r="C157" s="4" t="s">
        <v>28</v>
      </c>
      <c r="D157" s="4">
        <v>4.4000000000000004</v>
      </c>
      <c r="E157" s="4">
        <v>109729</v>
      </c>
      <c r="F157" s="4" t="s">
        <v>10</v>
      </c>
      <c r="G157" s="4" t="s">
        <v>448</v>
      </c>
      <c r="H157" s="4">
        <v>15.35</v>
      </c>
      <c r="I157" s="4" t="s">
        <v>12</v>
      </c>
      <c r="J157" s="4">
        <v>496</v>
      </c>
      <c r="K157" s="5">
        <v>45475</v>
      </c>
      <c r="L157" s="4" t="s">
        <v>17</v>
      </c>
      <c r="M157" s="4"/>
      <c r="N157" s="4">
        <v>86</v>
      </c>
      <c r="O157" s="4">
        <v>87</v>
      </c>
    </row>
    <row r="158" spans="1:15" x14ac:dyDescent="0.25">
      <c r="A158" s="2" t="s">
        <v>449</v>
      </c>
      <c r="B158" s="2" t="s">
        <v>450</v>
      </c>
      <c r="C158" s="2" t="s">
        <v>15</v>
      </c>
      <c r="D158" s="2">
        <v>4.7</v>
      </c>
      <c r="E158" s="2">
        <v>8907</v>
      </c>
      <c r="F158" s="2" t="s">
        <v>24</v>
      </c>
      <c r="G158" s="2" t="s">
        <v>451</v>
      </c>
      <c r="H158" s="2">
        <v>6.7</v>
      </c>
      <c r="I158" s="2" t="s">
        <v>355</v>
      </c>
      <c r="J158" s="2">
        <v>144</v>
      </c>
      <c r="K158" s="3">
        <v>44264</v>
      </c>
      <c r="L158" s="2" t="s">
        <v>77</v>
      </c>
      <c r="M158" s="2"/>
      <c r="N158" s="2">
        <v>88</v>
      </c>
      <c r="O158" s="2"/>
    </row>
    <row r="159" spans="1:15" x14ac:dyDescent="0.25">
      <c r="A159" s="4" t="s">
        <v>452</v>
      </c>
      <c r="B159" s="4" t="s">
        <v>172</v>
      </c>
      <c r="C159" s="4" t="s">
        <v>9</v>
      </c>
      <c r="D159" s="4">
        <v>4.8</v>
      </c>
      <c r="E159" s="4">
        <v>7381</v>
      </c>
      <c r="F159" s="4" t="s">
        <v>24</v>
      </c>
      <c r="G159" s="4" t="s">
        <v>453</v>
      </c>
      <c r="H159" s="4">
        <v>2.65</v>
      </c>
      <c r="I159" s="4" t="s">
        <v>174</v>
      </c>
      <c r="J159" s="4">
        <v>64</v>
      </c>
      <c r="K159" s="5">
        <v>44250</v>
      </c>
      <c r="L159" s="4" t="s">
        <v>77</v>
      </c>
      <c r="M159" s="4"/>
      <c r="N159" s="4">
        <v>89</v>
      </c>
      <c r="O159" s="4"/>
    </row>
    <row r="160" spans="1:15" x14ac:dyDescent="0.25">
      <c r="A160" s="2" t="s">
        <v>334</v>
      </c>
      <c r="B160" s="2" t="s">
        <v>335</v>
      </c>
      <c r="C160" s="2" t="s">
        <v>15</v>
      </c>
      <c r="D160" s="2">
        <v>4.7</v>
      </c>
      <c r="E160" s="2">
        <v>20096</v>
      </c>
      <c r="F160" s="2" t="s">
        <v>24</v>
      </c>
      <c r="G160" s="2" t="s">
        <v>336</v>
      </c>
      <c r="H160" s="2">
        <v>11.95</v>
      </c>
      <c r="I160" s="2" t="s">
        <v>12</v>
      </c>
      <c r="J160" s="2">
        <v>108</v>
      </c>
      <c r="K160" s="3">
        <v>43665</v>
      </c>
      <c r="L160" s="2" t="s">
        <v>337</v>
      </c>
      <c r="M160" s="2"/>
      <c r="N160" s="2">
        <v>90</v>
      </c>
      <c r="O160" s="2"/>
    </row>
    <row r="161" spans="1:15" x14ac:dyDescent="0.25">
      <c r="A161" s="4" t="s">
        <v>454</v>
      </c>
      <c r="B161" s="4" t="s">
        <v>455</v>
      </c>
      <c r="C161" s="4" t="s">
        <v>57</v>
      </c>
      <c r="D161" s="4">
        <v>4.9000000000000004</v>
      </c>
      <c r="E161" s="4">
        <v>13299</v>
      </c>
      <c r="F161" s="4" t="s">
        <v>10</v>
      </c>
      <c r="G161" s="4" t="s">
        <v>456</v>
      </c>
      <c r="H161" s="4">
        <v>24.34</v>
      </c>
      <c r="I161" s="4" t="s">
        <v>94</v>
      </c>
      <c r="J161" s="4">
        <v>832</v>
      </c>
      <c r="K161" s="5">
        <v>44075</v>
      </c>
      <c r="L161" s="4" t="s">
        <v>374</v>
      </c>
      <c r="M161" s="4"/>
      <c r="N161" s="4">
        <v>93</v>
      </c>
      <c r="O161" s="4">
        <v>43</v>
      </c>
    </row>
    <row r="162" spans="1:15" x14ac:dyDescent="0.25">
      <c r="A162" s="2" t="s">
        <v>266</v>
      </c>
      <c r="B162" s="2" t="s">
        <v>267</v>
      </c>
      <c r="C162" s="2" t="s">
        <v>9</v>
      </c>
      <c r="D162" s="2">
        <v>4.8</v>
      </c>
      <c r="E162" s="2">
        <v>20638</v>
      </c>
      <c r="F162" s="2" t="s">
        <v>10</v>
      </c>
      <c r="G162" s="2" t="s">
        <v>268</v>
      </c>
      <c r="H162" s="2">
        <v>9.82</v>
      </c>
      <c r="I162" s="2" t="s">
        <v>174</v>
      </c>
      <c r="J162" s="2">
        <v>40</v>
      </c>
      <c r="K162" s="3">
        <v>41074</v>
      </c>
      <c r="L162" s="2" t="s">
        <v>61</v>
      </c>
      <c r="M162" s="2"/>
      <c r="N162" s="2">
        <v>94</v>
      </c>
      <c r="O162" s="2"/>
    </row>
    <row r="163" spans="1:15" x14ac:dyDescent="0.25">
      <c r="A163" s="4" t="s">
        <v>457</v>
      </c>
      <c r="B163" s="4" t="s">
        <v>458</v>
      </c>
      <c r="C163" s="4" t="s">
        <v>32</v>
      </c>
      <c r="D163" s="4">
        <v>4.5999999999999996</v>
      </c>
      <c r="E163" s="4">
        <v>22419</v>
      </c>
      <c r="F163" s="4" t="s">
        <v>10</v>
      </c>
      <c r="G163" s="4" t="s">
        <v>305</v>
      </c>
      <c r="H163" s="4">
        <v>10.18</v>
      </c>
      <c r="I163" s="4" t="s">
        <v>12</v>
      </c>
      <c r="J163" s="4">
        <v>704</v>
      </c>
      <c r="K163" s="5">
        <v>41000</v>
      </c>
      <c r="L163" s="4" t="s">
        <v>459</v>
      </c>
      <c r="M163" s="4"/>
      <c r="N163" s="4">
        <v>95</v>
      </c>
      <c r="O163" s="4">
        <v>21</v>
      </c>
    </row>
    <row r="164" spans="1:15" x14ac:dyDescent="0.25">
      <c r="A164" s="2" t="s">
        <v>460</v>
      </c>
      <c r="B164" s="2" t="s">
        <v>270</v>
      </c>
      <c r="C164" s="2" t="s">
        <v>32</v>
      </c>
      <c r="D164" s="2">
        <v>4.5999999999999996</v>
      </c>
      <c r="E164" s="2">
        <v>197412</v>
      </c>
      <c r="F164" s="2" t="s">
        <v>24</v>
      </c>
      <c r="G164" s="2" t="s">
        <v>461</v>
      </c>
      <c r="H164" s="2">
        <v>10.45</v>
      </c>
      <c r="I164" s="2" t="s">
        <v>12</v>
      </c>
      <c r="J164" s="2">
        <v>576</v>
      </c>
      <c r="K164" s="3">
        <v>43732</v>
      </c>
      <c r="L164" s="2" t="s">
        <v>17</v>
      </c>
      <c r="M164" s="2"/>
      <c r="N164" s="2">
        <v>96</v>
      </c>
      <c r="O164" s="2"/>
    </row>
    <row r="165" spans="1:15" x14ac:dyDescent="0.25">
      <c r="A165" s="4" t="s">
        <v>462</v>
      </c>
      <c r="B165" s="4" t="s">
        <v>85</v>
      </c>
      <c r="C165" s="4" t="s">
        <v>32</v>
      </c>
      <c r="D165" s="4">
        <v>4.5999999999999996</v>
      </c>
      <c r="E165" s="4">
        <v>170525</v>
      </c>
      <c r="F165" s="4" t="s">
        <v>24</v>
      </c>
      <c r="G165" s="4" t="s">
        <v>463</v>
      </c>
      <c r="H165" s="4">
        <v>10.7</v>
      </c>
      <c r="I165" s="4" t="s">
        <v>12</v>
      </c>
      <c r="J165" s="4">
        <v>432</v>
      </c>
      <c r="K165" s="5">
        <v>44971</v>
      </c>
      <c r="L165" s="4" t="s">
        <v>17</v>
      </c>
      <c r="M165" s="4"/>
      <c r="N165" s="4">
        <v>98</v>
      </c>
      <c r="O165" s="4"/>
    </row>
    <row r="166" spans="1:15" x14ac:dyDescent="0.25">
      <c r="A166" s="2" t="s">
        <v>464</v>
      </c>
      <c r="B166" s="2" t="s">
        <v>465</v>
      </c>
      <c r="C166" s="2" t="s">
        <v>28</v>
      </c>
      <c r="D166" s="2">
        <v>4.4000000000000004</v>
      </c>
      <c r="E166" s="2">
        <v>158268</v>
      </c>
      <c r="F166" s="2" t="s">
        <v>24</v>
      </c>
      <c r="G166" s="2" t="s">
        <v>466</v>
      </c>
      <c r="H166" s="2">
        <v>4.99</v>
      </c>
      <c r="I166" s="2" t="s">
        <v>12</v>
      </c>
      <c r="J166" s="2">
        <v>448</v>
      </c>
      <c r="K166" s="3">
        <v>45237</v>
      </c>
      <c r="L166" s="2" t="s">
        <v>17</v>
      </c>
      <c r="M166" s="2"/>
      <c r="N166" s="2">
        <v>99</v>
      </c>
      <c r="O166" s="2">
        <v>68</v>
      </c>
    </row>
    <row r="167" spans="1:15" x14ac:dyDescent="0.25">
      <c r="A167" s="4" t="s">
        <v>467</v>
      </c>
      <c r="B167" s="4" t="s">
        <v>307</v>
      </c>
      <c r="C167" s="4" t="s">
        <v>15</v>
      </c>
      <c r="D167" s="4">
        <v>4.7</v>
      </c>
      <c r="E167" s="4">
        <v>85367</v>
      </c>
      <c r="F167" s="4" t="s">
        <v>10</v>
      </c>
      <c r="G167" s="4" t="s">
        <v>271</v>
      </c>
      <c r="H167" s="4">
        <v>13.48</v>
      </c>
      <c r="I167" s="4" t="s">
        <v>468</v>
      </c>
      <c r="J167" s="4">
        <v>400</v>
      </c>
      <c r="K167" s="5">
        <v>45734</v>
      </c>
      <c r="L167" s="4" t="s">
        <v>17</v>
      </c>
      <c r="M167" s="4"/>
      <c r="N167" s="4"/>
      <c r="O167" s="4">
        <v>2</v>
      </c>
    </row>
    <row r="168" spans="1:15" x14ac:dyDescent="0.25">
      <c r="A168" s="2" t="s">
        <v>469</v>
      </c>
      <c r="B168" s="2" t="s">
        <v>470</v>
      </c>
      <c r="C168" s="2" t="s">
        <v>15</v>
      </c>
      <c r="D168" s="2">
        <v>4.7</v>
      </c>
      <c r="E168" s="2">
        <v>14335</v>
      </c>
      <c r="F168" s="2" t="s">
        <v>24</v>
      </c>
      <c r="G168" s="2" t="s">
        <v>471</v>
      </c>
      <c r="H168" s="2">
        <v>37.01</v>
      </c>
      <c r="I168" s="2" t="s">
        <v>468</v>
      </c>
      <c r="J168" s="2">
        <v>288</v>
      </c>
      <c r="K168" s="3">
        <v>45534</v>
      </c>
      <c r="L168" s="2" t="s">
        <v>42</v>
      </c>
      <c r="M168" s="2"/>
      <c r="N168" s="2"/>
      <c r="O168" s="2">
        <v>3</v>
      </c>
    </row>
    <row r="169" spans="1:15" x14ac:dyDescent="0.25">
      <c r="A169" s="4" t="s">
        <v>472</v>
      </c>
      <c r="B169" s="4" t="s">
        <v>149</v>
      </c>
      <c r="C169" s="4" t="s">
        <v>9</v>
      </c>
      <c r="D169" s="4">
        <v>4.8</v>
      </c>
      <c r="E169" s="4">
        <v>26451</v>
      </c>
      <c r="F169" s="4" t="s">
        <v>10</v>
      </c>
      <c r="G169" s="4" t="s">
        <v>21</v>
      </c>
      <c r="H169" s="4">
        <v>11.99</v>
      </c>
      <c r="I169" s="4" t="s">
        <v>60</v>
      </c>
      <c r="J169" s="4">
        <v>24</v>
      </c>
      <c r="K169" s="5">
        <v>41305</v>
      </c>
      <c r="L169" s="4" t="s">
        <v>61</v>
      </c>
      <c r="M169" s="4"/>
      <c r="N169" s="4"/>
      <c r="O169" s="4">
        <v>7</v>
      </c>
    </row>
    <row r="170" spans="1:15" x14ac:dyDescent="0.25">
      <c r="A170" s="2" t="s">
        <v>473</v>
      </c>
      <c r="B170" s="2" t="s">
        <v>92</v>
      </c>
      <c r="C170" s="2" t="s">
        <v>15</v>
      </c>
      <c r="D170" s="2">
        <v>4.7</v>
      </c>
      <c r="E170" s="2">
        <v>5575</v>
      </c>
      <c r="F170" s="2" t="s">
        <v>10</v>
      </c>
      <c r="G170" s="2" t="s">
        <v>474</v>
      </c>
      <c r="H170" s="2">
        <v>10.97</v>
      </c>
      <c r="I170" s="2" t="s">
        <v>275</v>
      </c>
      <c r="J170" s="2">
        <v>224</v>
      </c>
      <c r="K170" s="3">
        <v>45951</v>
      </c>
      <c r="L170" s="2" t="s">
        <v>475</v>
      </c>
      <c r="M170" s="2"/>
      <c r="N170" s="2"/>
      <c r="O170" s="2">
        <v>9</v>
      </c>
    </row>
    <row r="171" spans="1:15" x14ac:dyDescent="0.25">
      <c r="A171" s="4" t="s">
        <v>476</v>
      </c>
      <c r="B171" s="4" t="s">
        <v>477</v>
      </c>
      <c r="C171" s="4" t="s">
        <v>32</v>
      </c>
      <c r="D171" s="4">
        <v>4.5999999999999996</v>
      </c>
      <c r="E171" s="4">
        <v>101295</v>
      </c>
      <c r="F171" s="4" t="s">
        <v>24</v>
      </c>
      <c r="G171" s="4" t="s">
        <v>21</v>
      </c>
      <c r="H171" s="4">
        <v>11.99</v>
      </c>
      <c r="I171" s="4" t="s">
        <v>12</v>
      </c>
      <c r="J171" s="4">
        <v>448</v>
      </c>
      <c r="K171" s="5">
        <v>45601</v>
      </c>
      <c r="L171" s="4" t="s">
        <v>17</v>
      </c>
      <c r="M171" s="4"/>
      <c r="N171" s="4"/>
      <c r="O171" s="4">
        <v>12</v>
      </c>
    </row>
    <row r="172" spans="1:15" x14ac:dyDescent="0.25">
      <c r="A172" s="2" t="s">
        <v>478</v>
      </c>
      <c r="B172" s="2" t="s">
        <v>100</v>
      </c>
      <c r="C172" s="2" t="s">
        <v>15</v>
      </c>
      <c r="D172" s="2">
        <v>4.7</v>
      </c>
      <c r="E172" s="2">
        <v>2420</v>
      </c>
      <c r="F172" s="2" t="s">
        <v>10</v>
      </c>
      <c r="G172" s="2" t="s">
        <v>479</v>
      </c>
      <c r="H172" s="2">
        <v>9.42</v>
      </c>
      <c r="I172" s="2" t="s">
        <v>94</v>
      </c>
      <c r="J172" s="2">
        <v>224</v>
      </c>
      <c r="K172" s="3">
        <v>45972</v>
      </c>
      <c r="L172" s="2" t="s">
        <v>103</v>
      </c>
      <c r="M172" s="2"/>
      <c r="N172" s="2"/>
      <c r="O172" s="2">
        <v>24</v>
      </c>
    </row>
    <row r="173" spans="1:15" x14ac:dyDescent="0.25">
      <c r="A173" s="4" t="s">
        <v>480</v>
      </c>
      <c r="B173" s="4" t="s">
        <v>481</v>
      </c>
      <c r="C173" s="4" t="s">
        <v>28</v>
      </c>
      <c r="D173" s="4">
        <v>4.4000000000000004</v>
      </c>
      <c r="E173" s="4">
        <v>49468</v>
      </c>
      <c r="F173" s="4" t="s">
        <v>10</v>
      </c>
      <c r="G173" s="4" t="s">
        <v>482</v>
      </c>
      <c r="H173" s="4">
        <v>14</v>
      </c>
      <c r="I173" s="4" t="s">
        <v>12</v>
      </c>
      <c r="J173" s="4">
        <v>688</v>
      </c>
      <c r="K173" s="5">
        <v>45909</v>
      </c>
      <c r="L173" s="4" t="s">
        <v>54</v>
      </c>
      <c r="M173" s="4"/>
      <c r="N173" s="4"/>
      <c r="O173" s="4">
        <v>26</v>
      </c>
    </row>
    <row r="174" spans="1:15" x14ac:dyDescent="0.25">
      <c r="A174" s="2" t="s">
        <v>483</v>
      </c>
      <c r="B174" s="2" t="s">
        <v>361</v>
      </c>
      <c r="C174" s="2" t="s">
        <v>9</v>
      </c>
      <c r="D174" s="2">
        <v>4.8</v>
      </c>
      <c r="E174" s="2">
        <v>8113</v>
      </c>
      <c r="F174" s="2" t="s">
        <v>24</v>
      </c>
      <c r="G174" s="2" t="s">
        <v>64</v>
      </c>
      <c r="H174" s="2">
        <v>9.99</v>
      </c>
      <c r="I174" s="2" t="s">
        <v>12</v>
      </c>
      <c r="J174" s="2">
        <v>88</v>
      </c>
      <c r="K174" s="3">
        <v>45591</v>
      </c>
      <c r="L174" s="2" t="s">
        <v>77</v>
      </c>
      <c r="M174" s="2"/>
      <c r="N174" s="2"/>
      <c r="O174" s="2">
        <v>27</v>
      </c>
    </row>
    <row r="175" spans="1:15" x14ac:dyDescent="0.25">
      <c r="A175" s="4" t="s">
        <v>484</v>
      </c>
      <c r="B175" s="4" t="s">
        <v>52</v>
      </c>
      <c r="C175" s="4" t="s">
        <v>28</v>
      </c>
      <c r="D175" s="4">
        <v>4.4000000000000004</v>
      </c>
      <c r="E175" s="4">
        <v>348084</v>
      </c>
      <c r="F175" s="4" t="s">
        <v>24</v>
      </c>
      <c r="G175" s="4" t="s">
        <v>211</v>
      </c>
      <c r="H175" s="4">
        <v>9.74</v>
      </c>
      <c r="I175" s="4" t="s">
        <v>12</v>
      </c>
      <c r="J175" s="4">
        <v>352</v>
      </c>
      <c r="K175" s="5">
        <v>45118</v>
      </c>
      <c r="L175" s="4" t="s">
        <v>54</v>
      </c>
      <c r="M175" s="4"/>
      <c r="N175" s="4"/>
      <c r="O175" s="4">
        <v>29</v>
      </c>
    </row>
    <row r="176" spans="1:15" x14ac:dyDescent="0.25">
      <c r="A176" s="2" t="s">
        <v>485</v>
      </c>
      <c r="B176" s="2" t="s">
        <v>486</v>
      </c>
      <c r="C176" s="2" t="s">
        <v>9</v>
      </c>
      <c r="D176" s="2">
        <v>4.8</v>
      </c>
      <c r="E176" s="2">
        <v>9378</v>
      </c>
      <c r="F176" s="2" t="s">
        <v>10</v>
      </c>
      <c r="G176" s="2" t="s">
        <v>487</v>
      </c>
      <c r="H176" s="2">
        <v>20.98</v>
      </c>
      <c r="I176" s="2" t="s">
        <v>12</v>
      </c>
      <c r="J176" s="2">
        <v>224</v>
      </c>
      <c r="K176" s="3">
        <v>45937</v>
      </c>
      <c r="L176" s="2" t="s">
        <v>37</v>
      </c>
      <c r="M176" s="2"/>
      <c r="N176" s="2"/>
      <c r="O176" s="2">
        <v>32</v>
      </c>
    </row>
    <row r="177" spans="1:15" x14ac:dyDescent="0.25">
      <c r="A177" s="4" t="s">
        <v>488</v>
      </c>
      <c r="B177" s="4" t="s">
        <v>489</v>
      </c>
      <c r="C177" s="4" t="s">
        <v>15</v>
      </c>
      <c r="D177" s="4">
        <v>4.7</v>
      </c>
      <c r="E177" s="4">
        <v>3765</v>
      </c>
      <c r="F177" s="4" t="s">
        <v>24</v>
      </c>
      <c r="G177" s="4" t="s">
        <v>351</v>
      </c>
      <c r="H177" s="4">
        <v>17</v>
      </c>
      <c r="I177" s="4" t="s">
        <v>12</v>
      </c>
      <c r="J177" s="4">
        <v>360</v>
      </c>
      <c r="K177" s="5">
        <v>43952</v>
      </c>
      <c r="L177" s="4" t="s">
        <v>42</v>
      </c>
      <c r="M177" s="4"/>
      <c r="N177" s="4"/>
      <c r="O177" s="4">
        <v>33</v>
      </c>
    </row>
    <row r="178" spans="1:15" x14ac:dyDescent="0.25">
      <c r="A178" s="2" t="s">
        <v>490</v>
      </c>
      <c r="B178" s="2" t="s">
        <v>491</v>
      </c>
      <c r="C178" s="2" t="s">
        <v>15</v>
      </c>
      <c r="D178" s="2">
        <v>4.7</v>
      </c>
      <c r="E178" s="2">
        <v>3004</v>
      </c>
      <c r="F178" s="2" t="s">
        <v>24</v>
      </c>
      <c r="G178" s="2" t="s">
        <v>21</v>
      </c>
      <c r="H178" s="2">
        <v>11.99</v>
      </c>
      <c r="I178" s="2" t="s">
        <v>102</v>
      </c>
      <c r="J178" s="2">
        <v>144</v>
      </c>
      <c r="K178" s="3">
        <v>44461</v>
      </c>
      <c r="L178" s="2" t="s">
        <v>77</v>
      </c>
      <c r="M178" s="2"/>
      <c r="N178" s="2"/>
      <c r="O178" s="2">
        <v>34</v>
      </c>
    </row>
    <row r="179" spans="1:15" x14ac:dyDescent="0.25">
      <c r="A179" s="4" t="s">
        <v>131</v>
      </c>
      <c r="B179" s="4" t="s">
        <v>132</v>
      </c>
      <c r="C179" s="4" t="s">
        <v>57</v>
      </c>
      <c r="D179" s="4">
        <v>4.9000000000000004</v>
      </c>
      <c r="E179" s="4">
        <v>53602</v>
      </c>
      <c r="F179" s="4" t="s">
        <v>10</v>
      </c>
      <c r="G179" s="4" t="s">
        <v>133</v>
      </c>
      <c r="H179" s="4">
        <v>8.64</v>
      </c>
      <c r="I179" s="4" t="s">
        <v>134</v>
      </c>
      <c r="J179" s="4">
        <v>56</v>
      </c>
      <c r="K179" s="5">
        <v>32895</v>
      </c>
      <c r="L179" s="4" t="s">
        <v>61</v>
      </c>
      <c r="M179" s="4"/>
      <c r="N179" s="4"/>
      <c r="O179" s="4">
        <v>35</v>
      </c>
    </row>
    <row r="180" spans="1:15" x14ac:dyDescent="0.25">
      <c r="A180" s="2" t="s">
        <v>492</v>
      </c>
      <c r="B180" s="2" t="s">
        <v>493</v>
      </c>
      <c r="C180" s="2" t="s">
        <v>15</v>
      </c>
      <c r="D180" s="2">
        <v>4.7</v>
      </c>
      <c r="E180" s="2">
        <v>186767</v>
      </c>
      <c r="F180" s="2" t="s">
        <v>24</v>
      </c>
      <c r="G180" s="2" t="s">
        <v>230</v>
      </c>
      <c r="H180" s="2">
        <v>13.98</v>
      </c>
      <c r="I180" s="2" t="s">
        <v>12</v>
      </c>
      <c r="J180" s="2">
        <v>496</v>
      </c>
      <c r="K180" s="3">
        <v>44838</v>
      </c>
      <c r="L180" s="2" t="s">
        <v>54</v>
      </c>
      <c r="M180" s="2"/>
      <c r="N180" s="2"/>
      <c r="O180" s="2">
        <v>40</v>
      </c>
    </row>
    <row r="181" spans="1:15" x14ac:dyDescent="0.25">
      <c r="A181" s="4" t="s">
        <v>494</v>
      </c>
      <c r="B181" s="4" t="s">
        <v>495</v>
      </c>
      <c r="C181" s="4" t="s">
        <v>57</v>
      </c>
      <c r="D181" s="4">
        <v>4.9000000000000004</v>
      </c>
      <c r="E181" s="4">
        <v>476</v>
      </c>
      <c r="F181" s="4" t="s">
        <v>10</v>
      </c>
      <c r="G181" s="4" t="s">
        <v>496</v>
      </c>
      <c r="H181" s="4">
        <v>29.99</v>
      </c>
      <c r="I181" s="4" t="s">
        <v>12</v>
      </c>
      <c r="J181" s="4">
        <v>267</v>
      </c>
      <c r="K181" s="5">
        <v>46000</v>
      </c>
      <c r="L181" s="4" t="s">
        <v>374</v>
      </c>
      <c r="M181" s="4"/>
      <c r="N181" s="4"/>
      <c r="O181" s="4">
        <v>45</v>
      </c>
    </row>
    <row r="182" spans="1:15" x14ac:dyDescent="0.25">
      <c r="A182" s="2" t="s">
        <v>497</v>
      </c>
      <c r="B182" s="2" t="s">
        <v>498</v>
      </c>
      <c r="C182" s="2" t="s">
        <v>20</v>
      </c>
      <c r="D182" s="2">
        <v>4.5</v>
      </c>
      <c r="E182" s="2">
        <v>71453</v>
      </c>
      <c r="F182" s="2" t="s">
        <v>10</v>
      </c>
      <c r="G182" s="2" t="s">
        <v>499</v>
      </c>
      <c r="H182" s="2">
        <v>15.43</v>
      </c>
      <c r="I182" s="2" t="s">
        <v>12</v>
      </c>
      <c r="J182" s="2">
        <v>320</v>
      </c>
      <c r="K182" s="3">
        <v>45720</v>
      </c>
      <c r="L182" s="2" t="s">
        <v>17</v>
      </c>
      <c r="M182" s="2"/>
      <c r="N182" s="2"/>
      <c r="O182" s="2">
        <v>46</v>
      </c>
    </row>
    <row r="183" spans="1:15" x14ac:dyDescent="0.25">
      <c r="A183" s="4" t="s">
        <v>500</v>
      </c>
      <c r="B183" s="4" t="s">
        <v>263</v>
      </c>
      <c r="C183" s="4" t="s">
        <v>28</v>
      </c>
      <c r="D183" s="4">
        <v>4.4000000000000004</v>
      </c>
      <c r="E183" s="4">
        <v>46020</v>
      </c>
      <c r="F183" s="4" t="s">
        <v>10</v>
      </c>
      <c r="G183" s="4" t="s">
        <v>501</v>
      </c>
      <c r="H183" s="4">
        <v>13.87</v>
      </c>
      <c r="I183" s="4" t="s">
        <v>12</v>
      </c>
      <c r="J183" s="4">
        <v>416</v>
      </c>
      <c r="K183" s="5">
        <v>45951</v>
      </c>
      <c r="L183" s="4" t="s">
        <v>54</v>
      </c>
      <c r="M183" s="4"/>
      <c r="N183" s="4"/>
      <c r="O183" s="4">
        <v>48</v>
      </c>
    </row>
    <row r="184" spans="1:15" x14ac:dyDescent="0.25">
      <c r="A184" s="2" t="s">
        <v>502</v>
      </c>
      <c r="B184" s="2" t="s">
        <v>503</v>
      </c>
      <c r="C184" s="2" t="s">
        <v>15</v>
      </c>
      <c r="D184" s="2">
        <v>4.7</v>
      </c>
      <c r="E184" s="2">
        <v>6749</v>
      </c>
      <c r="F184" s="2" t="s">
        <v>504</v>
      </c>
      <c r="G184" s="2" t="s">
        <v>505</v>
      </c>
      <c r="H184" s="2">
        <v>6.42</v>
      </c>
      <c r="I184" s="2" t="s">
        <v>102</v>
      </c>
      <c r="J184" s="2">
        <v>64</v>
      </c>
      <c r="K184" s="3">
        <v>44164</v>
      </c>
      <c r="L184" s="2" t="s">
        <v>77</v>
      </c>
      <c r="M184" s="2"/>
      <c r="N184" s="2"/>
      <c r="O184" s="2">
        <v>49</v>
      </c>
    </row>
    <row r="185" spans="1:15" x14ac:dyDescent="0.25">
      <c r="A185" s="4" t="s">
        <v>506</v>
      </c>
      <c r="B185" s="4" t="s">
        <v>507</v>
      </c>
      <c r="C185" s="4" t="s">
        <v>15</v>
      </c>
      <c r="D185" s="4">
        <v>4.7</v>
      </c>
      <c r="E185" s="4">
        <v>41584</v>
      </c>
      <c r="F185" s="4" t="s">
        <v>24</v>
      </c>
      <c r="G185" s="4" t="s">
        <v>508</v>
      </c>
      <c r="H185" s="4">
        <v>7.96</v>
      </c>
      <c r="I185" s="4" t="s">
        <v>12</v>
      </c>
      <c r="J185" s="4">
        <v>32</v>
      </c>
      <c r="K185" s="5">
        <v>42465</v>
      </c>
      <c r="L185" s="4" t="s">
        <v>123</v>
      </c>
      <c r="M185" s="4"/>
      <c r="N185" s="4"/>
      <c r="O185" s="4">
        <v>50</v>
      </c>
    </row>
    <row r="186" spans="1:15" x14ac:dyDescent="0.25">
      <c r="A186" s="2" t="s">
        <v>509</v>
      </c>
      <c r="B186" s="2" t="s">
        <v>510</v>
      </c>
      <c r="C186" s="2" t="s">
        <v>179</v>
      </c>
      <c r="D186" s="2">
        <v>4.3</v>
      </c>
      <c r="E186" s="2">
        <v>147730</v>
      </c>
      <c r="F186" s="2" t="s">
        <v>10</v>
      </c>
      <c r="G186" s="2" t="s">
        <v>511</v>
      </c>
      <c r="H186" s="2">
        <v>19.23</v>
      </c>
      <c r="I186" s="2" t="s">
        <v>12</v>
      </c>
      <c r="J186" s="2">
        <v>384</v>
      </c>
      <c r="K186" s="3">
        <v>45503</v>
      </c>
      <c r="L186" s="2" t="s">
        <v>17</v>
      </c>
      <c r="M186" s="2"/>
      <c r="N186" s="2"/>
      <c r="O186" s="2">
        <v>51</v>
      </c>
    </row>
    <row r="187" spans="1:15" x14ac:dyDescent="0.25">
      <c r="A187" s="4" t="s">
        <v>512</v>
      </c>
      <c r="B187" s="4" t="s">
        <v>513</v>
      </c>
      <c r="C187" s="4" t="s">
        <v>32</v>
      </c>
      <c r="D187" s="4">
        <v>4.5999999999999996</v>
      </c>
      <c r="E187" s="4">
        <v>7711</v>
      </c>
      <c r="F187" s="4" t="s">
        <v>10</v>
      </c>
      <c r="G187" s="4" t="s">
        <v>514</v>
      </c>
      <c r="H187" s="4">
        <v>15.18</v>
      </c>
      <c r="I187" s="4" t="s">
        <v>12</v>
      </c>
      <c r="J187" s="4">
        <v>320</v>
      </c>
      <c r="K187" s="5">
        <v>45923</v>
      </c>
      <c r="L187" s="4" t="s">
        <v>37</v>
      </c>
      <c r="M187" s="4"/>
      <c r="N187" s="4"/>
      <c r="O187" s="4">
        <v>54</v>
      </c>
    </row>
    <row r="188" spans="1:15" x14ac:dyDescent="0.25">
      <c r="A188" s="2" t="s">
        <v>515</v>
      </c>
      <c r="B188" s="2" t="s">
        <v>450</v>
      </c>
      <c r="C188" s="2" t="s">
        <v>15</v>
      </c>
      <c r="D188" s="2">
        <v>4.7</v>
      </c>
      <c r="E188" s="2">
        <v>8896</v>
      </c>
      <c r="F188" s="2" t="s">
        <v>24</v>
      </c>
      <c r="G188" s="2" t="s">
        <v>451</v>
      </c>
      <c r="H188" s="2">
        <v>6.7</v>
      </c>
      <c r="I188" s="2" t="s">
        <v>355</v>
      </c>
      <c r="J188" s="2">
        <v>144</v>
      </c>
      <c r="K188" s="3">
        <v>44264</v>
      </c>
      <c r="L188" s="2" t="s">
        <v>77</v>
      </c>
      <c r="M188" s="2"/>
      <c r="N188" s="2"/>
      <c r="O188" s="2">
        <v>55</v>
      </c>
    </row>
    <row r="189" spans="1:15" x14ac:dyDescent="0.25">
      <c r="A189" s="4" t="s">
        <v>516</v>
      </c>
      <c r="B189" s="4" t="s">
        <v>517</v>
      </c>
      <c r="C189" s="4" t="s">
        <v>15</v>
      </c>
      <c r="D189" s="4">
        <v>4.7</v>
      </c>
      <c r="E189" s="4">
        <v>2668</v>
      </c>
      <c r="F189" s="4" t="s">
        <v>58</v>
      </c>
      <c r="G189" s="4" t="s">
        <v>518</v>
      </c>
      <c r="H189" s="4">
        <v>8.77</v>
      </c>
      <c r="I189" s="4" t="s">
        <v>60</v>
      </c>
      <c r="J189" s="4">
        <v>32</v>
      </c>
      <c r="K189" s="5">
        <v>45664</v>
      </c>
      <c r="L189" s="4" t="s">
        <v>239</v>
      </c>
      <c r="M189" s="4"/>
      <c r="N189" s="4"/>
      <c r="O189" s="4">
        <v>56</v>
      </c>
    </row>
    <row r="190" spans="1:15" x14ac:dyDescent="0.25">
      <c r="A190" s="2" t="s">
        <v>519</v>
      </c>
      <c r="B190" s="2" t="s">
        <v>52</v>
      </c>
      <c r="C190" s="2" t="s">
        <v>140</v>
      </c>
      <c r="D190" s="2">
        <v>4.2</v>
      </c>
      <c r="E190" s="2">
        <v>174300</v>
      </c>
      <c r="F190" s="2" t="s">
        <v>24</v>
      </c>
      <c r="G190" s="2" t="s">
        <v>520</v>
      </c>
      <c r="H190" s="2">
        <v>4.47</v>
      </c>
      <c r="I190" s="2" t="s">
        <v>12</v>
      </c>
      <c r="J190" s="2">
        <v>368</v>
      </c>
      <c r="K190" s="3">
        <v>45783</v>
      </c>
      <c r="L190" s="2" t="s">
        <v>54</v>
      </c>
      <c r="M190" s="2"/>
      <c r="N190" s="2"/>
      <c r="O190" s="2">
        <v>58</v>
      </c>
    </row>
    <row r="191" spans="1:15" x14ac:dyDescent="0.25">
      <c r="A191" s="4" t="s">
        <v>521</v>
      </c>
      <c r="B191" s="4" t="s">
        <v>522</v>
      </c>
      <c r="C191" s="4" t="s">
        <v>9</v>
      </c>
      <c r="D191" s="4">
        <v>4.8</v>
      </c>
      <c r="E191" s="4">
        <v>35944</v>
      </c>
      <c r="F191" s="4" t="s">
        <v>58</v>
      </c>
      <c r="G191" s="4" t="s">
        <v>523</v>
      </c>
      <c r="H191" s="4">
        <v>4.5</v>
      </c>
      <c r="I191" s="4" t="s">
        <v>60</v>
      </c>
      <c r="J191" s="4">
        <v>22</v>
      </c>
      <c r="K191" s="5">
        <v>37802</v>
      </c>
      <c r="L191" s="4" t="s">
        <v>61</v>
      </c>
      <c r="M191" s="4"/>
      <c r="N191" s="4"/>
      <c r="O191" s="4">
        <v>61</v>
      </c>
    </row>
    <row r="192" spans="1:15" x14ac:dyDescent="0.25">
      <c r="A192" s="2" t="s">
        <v>524</v>
      </c>
      <c r="B192" s="2" t="s">
        <v>444</v>
      </c>
      <c r="C192" s="2" t="s">
        <v>32</v>
      </c>
      <c r="D192" s="2">
        <v>4.5999999999999996</v>
      </c>
      <c r="E192" s="2">
        <v>92537</v>
      </c>
      <c r="F192" s="2" t="s">
        <v>24</v>
      </c>
      <c r="G192" s="2" t="s">
        <v>525</v>
      </c>
      <c r="H192" s="2">
        <v>6.49</v>
      </c>
      <c r="I192" s="2" t="s">
        <v>365</v>
      </c>
      <c r="J192" s="2">
        <v>140</v>
      </c>
      <c r="K192" s="3">
        <v>38083</v>
      </c>
      <c r="L192" s="2" t="s">
        <v>37</v>
      </c>
      <c r="M192" s="2"/>
      <c r="N192" s="2"/>
      <c r="O192" s="2">
        <v>63</v>
      </c>
    </row>
    <row r="193" spans="1:15" x14ac:dyDescent="0.25">
      <c r="A193" s="4" t="s">
        <v>526</v>
      </c>
      <c r="B193" s="4" t="s">
        <v>527</v>
      </c>
      <c r="C193" s="4" t="s">
        <v>9</v>
      </c>
      <c r="D193" s="4">
        <v>4.8</v>
      </c>
      <c r="E193" s="4">
        <v>19562</v>
      </c>
      <c r="F193" s="4" t="s">
        <v>58</v>
      </c>
      <c r="G193" s="4" t="s">
        <v>528</v>
      </c>
      <c r="H193" s="4">
        <v>3.86</v>
      </c>
      <c r="I193" s="4" t="s">
        <v>60</v>
      </c>
      <c r="J193" s="4">
        <v>16</v>
      </c>
      <c r="K193" s="5">
        <v>30285</v>
      </c>
      <c r="L193" s="4" t="s">
        <v>61</v>
      </c>
      <c r="M193" s="4"/>
      <c r="N193" s="4"/>
      <c r="O193" s="4">
        <v>64</v>
      </c>
    </row>
    <row r="194" spans="1:15" x14ac:dyDescent="0.25">
      <c r="A194" s="2" t="s">
        <v>529</v>
      </c>
      <c r="B194" s="2" t="s">
        <v>530</v>
      </c>
      <c r="C194" s="2" t="s">
        <v>57</v>
      </c>
      <c r="D194" s="2">
        <v>4.9000000000000004</v>
      </c>
      <c r="E194" s="2">
        <v>27964</v>
      </c>
      <c r="F194" s="2" t="s">
        <v>10</v>
      </c>
      <c r="G194" s="2" t="s">
        <v>531</v>
      </c>
      <c r="H194" s="2">
        <v>10.93</v>
      </c>
      <c r="I194" s="2" t="s">
        <v>174</v>
      </c>
      <c r="J194" s="2">
        <v>512</v>
      </c>
      <c r="K194" s="3">
        <v>42647</v>
      </c>
      <c r="L194" s="2" t="s">
        <v>374</v>
      </c>
      <c r="M194" s="2"/>
      <c r="N194" s="2"/>
      <c r="O194" s="2">
        <v>66</v>
      </c>
    </row>
    <row r="195" spans="1:15" x14ac:dyDescent="0.25">
      <c r="A195" s="4" t="s">
        <v>532</v>
      </c>
      <c r="B195" s="4" t="s">
        <v>533</v>
      </c>
      <c r="C195" s="4" t="s">
        <v>15</v>
      </c>
      <c r="D195" s="4">
        <v>4.7</v>
      </c>
      <c r="E195" s="4">
        <v>17892</v>
      </c>
      <c r="F195" s="4" t="s">
        <v>10</v>
      </c>
      <c r="G195" s="4" t="s">
        <v>534</v>
      </c>
      <c r="H195" s="4">
        <v>16.45</v>
      </c>
      <c r="I195" s="4" t="s">
        <v>12</v>
      </c>
      <c r="J195" s="4">
        <v>400</v>
      </c>
      <c r="K195" s="5">
        <v>45951</v>
      </c>
      <c r="L195" s="4" t="s">
        <v>22</v>
      </c>
      <c r="M195" s="4"/>
      <c r="N195" s="4"/>
      <c r="O195" s="4">
        <v>67</v>
      </c>
    </row>
    <row r="196" spans="1:15" x14ac:dyDescent="0.25">
      <c r="A196" s="2" t="s">
        <v>535</v>
      </c>
      <c r="B196" s="2" t="s">
        <v>52</v>
      </c>
      <c r="C196" s="2" t="s">
        <v>140</v>
      </c>
      <c r="D196" s="2">
        <v>4.2</v>
      </c>
      <c r="E196" s="2">
        <v>162653</v>
      </c>
      <c r="F196" s="2" t="s">
        <v>24</v>
      </c>
      <c r="G196" s="2" t="s">
        <v>466</v>
      </c>
      <c r="H196" s="2">
        <v>4.99</v>
      </c>
      <c r="I196" s="2" t="s">
        <v>12</v>
      </c>
      <c r="J196" s="2">
        <v>384</v>
      </c>
      <c r="K196" s="3">
        <v>45685</v>
      </c>
      <c r="L196" s="2" t="s">
        <v>54</v>
      </c>
      <c r="M196" s="2"/>
      <c r="N196" s="2"/>
      <c r="O196" s="2">
        <v>70</v>
      </c>
    </row>
    <row r="197" spans="1:15" x14ac:dyDescent="0.25">
      <c r="A197" s="4" t="s">
        <v>536</v>
      </c>
      <c r="B197" s="4" t="s">
        <v>100</v>
      </c>
      <c r="C197" s="4" t="s">
        <v>9</v>
      </c>
      <c r="D197" s="4">
        <v>4.8</v>
      </c>
      <c r="E197" s="4">
        <v>7549</v>
      </c>
      <c r="F197" s="4" t="s">
        <v>10</v>
      </c>
      <c r="G197" s="4" t="s">
        <v>537</v>
      </c>
      <c r="H197" s="4">
        <v>5.64</v>
      </c>
      <c r="I197" s="4" t="s">
        <v>102</v>
      </c>
      <c r="J197" s="4">
        <v>224</v>
      </c>
      <c r="K197" s="5">
        <v>45629</v>
      </c>
      <c r="L197" s="4" t="s">
        <v>103</v>
      </c>
      <c r="M197" s="4"/>
      <c r="N197" s="4"/>
      <c r="O197" s="4">
        <v>71</v>
      </c>
    </row>
    <row r="198" spans="1:15" x14ac:dyDescent="0.25">
      <c r="A198" s="2" t="s">
        <v>538</v>
      </c>
      <c r="B198" s="2" t="s">
        <v>539</v>
      </c>
      <c r="C198" s="2" t="s">
        <v>15</v>
      </c>
      <c r="D198" s="2">
        <v>4.7</v>
      </c>
      <c r="E198" s="2">
        <v>96578</v>
      </c>
      <c r="F198" s="2" t="s">
        <v>24</v>
      </c>
      <c r="G198" s="2" t="s">
        <v>540</v>
      </c>
      <c r="H198" s="2">
        <v>12.86</v>
      </c>
      <c r="I198" s="2" t="s">
        <v>12</v>
      </c>
      <c r="J198" s="2">
        <v>184</v>
      </c>
      <c r="K198" s="3">
        <v>38869</v>
      </c>
      <c r="L198" s="2" t="s">
        <v>333</v>
      </c>
      <c r="M198" s="2"/>
      <c r="N198" s="2"/>
      <c r="O198" s="2">
        <v>75</v>
      </c>
    </row>
    <row r="199" spans="1:15" x14ac:dyDescent="0.25">
      <c r="A199" s="4" t="s">
        <v>541</v>
      </c>
      <c r="B199" s="4" t="s">
        <v>542</v>
      </c>
      <c r="C199" s="4" t="s">
        <v>32</v>
      </c>
      <c r="D199" s="4">
        <v>4.5999999999999996</v>
      </c>
      <c r="E199" s="4">
        <v>6031</v>
      </c>
      <c r="F199" s="4" t="s">
        <v>10</v>
      </c>
      <c r="G199" s="4" t="s">
        <v>543</v>
      </c>
      <c r="H199" s="4">
        <v>9.59</v>
      </c>
      <c r="I199" s="4" t="s">
        <v>12</v>
      </c>
      <c r="J199" s="4">
        <v>592</v>
      </c>
      <c r="K199" s="5">
        <v>45944</v>
      </c>
      <c r="L199" s="4" t="s">
        <v>127</v>
      </c>
      <c r="M199" s="4"/>
      <c r="N199" s="4"/>
      <c r="O199" s="4">
        <v>78</v>
      </c>
    </row>
    <row r="200" spans="1:15" x14ac:dyDescent="0.25">
      <c r="A200" s="2" t="s">
        <v>544</v>
      </c>
      <c r="B200" s="2" t="s">
        <v>545</v>
      </c>
      <c r="C200" s="2" t="s">
        <v>28</v>
      </c>
      <c r="D200" s="2">
        <v>4.4000000000000004</v>
      </c>
      <c r="E200" s="2">
        <v>46437</v>
      </c>
      <c r="F200" s="2" t="s">
        <v>10</v>
      </c>
      <c r="G200" s="2" t="s">
        <v>546</v>
      </c>
      <c r="H200" s="2">
        <v>18.12</v>
      </c>
      <c r="I200" s="2" t="s">
        <v>12</v>
      </c>
      <c r="J200" s="2">
        <v>672</v>
      </c>
      <c r="K200" s="3">
        <v>45979</v>
      </c>
      <c r="L200" s="2" t="s">
        <v>17</v>
      </c>
      <c r="M200" s="2"/>
      <c r="N200" s="2"/>
      <c r="O200" s="2">
        <v>79</v>
      </c>
    </row>
    <row r="201" spans="1:15" x14ac:dyDescent="0.25">
      <c r="A201" s="4" t="s">
        <v>547</v>
      </c>
      <c r="B201" s="4" t="s">
        <v>548</v>
      </c>
      <c r="C201" s="4" t="s">
        <v>15</v>
      </c>
      <c r="D201" s="4">
        <v>4.7</v>
      </c>
      <c r="E201" s="4">
        <v>3577</v>
      </c>
      <c r="F201" s="4" t="s">
        <v>24</v>
      </c>
      <c r="G201" s="4" t="s">
        <v>549</v>
      </c>
      <c r="H201" s="4">
        <v>37</v>
      </c>
      <c r="I201" s="4" t="s">
        <v>12</v>
      </c>
      <c r="J201" s="4">
        <v>240</v>
      </c>
      <c r="K201" s="5">
        <v>45292</v>
      </c>
      <c r="L201" s="4" t="s">
        <v>459</v>
      </c>
      <c r="M201" s="4"/>
      <c r="N201" s="4"/>
      <c r="O201" s="4">
        <v>80</v>
      </c>
    </row>
    <row r="202" spans="1:15" x14ac:dyDescent="0.25">
      <c r="A202" s="2" t="s">
        <v>550</v>
      </c>
      <c r="B202" s="2" t="s">
        <v>551</v>
      </c>
      <c r="C202" s="2" t="s">
        <v>57</v>
      </c>
      <c r="D202" s="2">
        <v>4.9000000000000004</v>
      </c>
      <c r="E202" s="2">
        <v>19727</v>
      </c>
      <c r="F202" s="2" t="s">
        <v>10</v>
      </c>
      <c r="G202" s="2" t="s">
        <v>552</v>
      </c>
      <c r="H202" s="2">
        <v>5.72</v>
      </c>
      <c r="I202" s="2" t="s">
        <v>98</v>
      </c>
      <c r="J202" s="2">
        <v>32</v>
      </c>
      <c r="K202" s="3">
        <v>43592</v>
      </c>
      <c r="L202" s="2" t="s">
        <v>61</v>
      </c>
      <c r="M202" s="2"/>
      <c r="N202" s="2"/>
      <c r="O202" s="2">
        <v>84</v>
      </c>
    </row>
    <row r="203" spans="1:15" x14ac:dyDescent="0.25">
      <c r="A203" s="4" t="s">
        <v>553</v>
      </c>
      <c r="B203" s="4" t="s">
        <v>554</v>
      </c>
      <c r="C203" s="4" t="s">
        <v>32</v>
      </c>
      <c r="D203" s="4">
        <v>4.5999999999999996</v>
      </c>
      <c r="E203" s="4">
        <v>50581</v>
      </c>
      <c r="F203" s="4" t="s">
        <v>10</v>
      </c>
      <c r="G203" s="4" t="s">
        <v>265</v>
      </c>
      <c r="H203" s="4">
        <v>12.97</v>
      </c>
      <c r="I203" s="4" t="s">
        <v>12</v>
      </c>
      <c r="J203" s="4">
        <v>448</v>
      </c>
      <c r="K203" s="5">
        <v>45783</v>
      </c>
      <c r="L203" s="4" t="s">
        <v>17</v>
      </c>
      <c r="M203" s="4"/>
      <c r="N203" s="4"/>
      <c r="O203" s="4">
        <v>86</v>
      </c>
    </row>
    <row r="204" spans="1:15" x14ac:dyDescent="0.25">
      <c r="A204" s="2" t="s">
        <v>555</v>
      </c>
      <c r="B204" s="2" t="s">
        <v>556</v>
      </c>
      <c r="C204" s="2" t="s">
        <v>32</v>
      </c>
      <c r="D204" s="2">
        <v>4.5999999999999996</v>
      </c>
      <c r="E204" s="2">
        <v>12949</v>
      </c>
      <c r="F204" s="2" t="s">
        <v>24</v>
      </c>
      <c r="G204" s="2" t="s">
        <v>557</v>
      </c>
      <c r="H204" s="2">
        <v>3.99</v>
      </c>
      <c r="I204" s="2" t="s">
        <v>76</v>
      </c>
      <c r="J204" s="2">
        <v>128</v>
      </c>
      <c r="K204" s="3">
        <v>42402</v>
      </c>
      <c r="L204" s="2" t="s">
        <v>61</v>
      </c>
      <c r="M204" s="2"/>
      <c r="N204" s="2"/>
      <c r="O204" s="2">
        <v>89</v>
      </c>
    </row>
    <row r="205" spans="1:15" x14ac:dyDescent="0.25">
      <c r="A205" s="4" t="s">
        <v>558</v>
      </c>
      <c r="B205" s="4" t="s">
        <v>559</v>
      </c>
      <c r="C205" s="4" t="s">
        <v>9</v>
      </c>
      <c r="D205" s="4">
        <v>4.8</v>
      </c>
      <c r="E205" s="4">
        <v>3576</v>
      </c>
      <c r="F205" s="4" t="s">
        <v>10</v>
      </c>
      <c r="G205" s="4" t="s">
        <v>203</v>
      </c>
      <c r="H205" s="4">
        <v>8.91</v>
      </c>
      <c r="I205" s="4" t="s">
        <v>174</v>
      </c>
      <c r="J205" s="4">
        <v>32</v>
      </c>
      <c r="K205" s="5">
        <v>42633</v>
      </c>
      <c r="L205" s="4" t="s">
        <v>61</v>
      </c>
      <c r="M205" s="4"/>
      <c r="N205" s="4"/>
      <c r="O205" s="4">
        <v>90</v>
      </c>
    </row>
    <row r="206" spans="1:15" x14ac:dyDescent="0.25">
      <c r="A206" s="2" t="s">
        <v>560</v>
      </c>
      <c r="B206" s="2" t="s">
        <v>561</v>
      </c>
      <c r="C206" s="2" t="s">
        <v>9</v>
      </c>
      <c r="D206" s="2">
        <v>4.8</v>
      </c>
      <c r="E206" s="2">
        <v>23786</v>
      </c>
      <c r="F206" s="2" t="s">
        <v>24</v>
      </c>
      <c r="G206" s="2" t="s">
        <v>562</v>
      </c>
      <c r="H206" s="2">
        <v>14.98</v>
      </c>
      <c r="I206" s="2" t="s">
        <v>76</v>
      </c>
      <c r="J206" s="2">
        <v>80</v>
      </c>
      <c r="K206" s="3">
        <v>37040</v>
      </c>
      <c r="L206" s="2" t="s">
        <v>61</v>
      </c>
      <c r="M206" s="2"/>
      <c r="N206" s="2"/>
      <c r="O206" s="2">
        <v>91</v>
      </c>
    </row>
    <row r="207" spans="1:15" x14ac:dyDescent="0.25">
      <c r="A207" s="4" t="s">
        <v>563</v>
      </c>
      <c r="B207" s="4" t="s">
        <v>564</v>
      </c>
      <c r="C207" s="4" t="s">
        <v>15</v>
      </c>
      <c r="D207" s="4">
        <v>4.7</v>
      </c>
      <c r="E207" s="4">
        <v>16848</v>
      </c>
      <c r="F207" s="4" t="s">
        <v>24</v>
      </c>
      <c r="G207" s="4" t="s">
        <v>565</v>
      </c>
      <c r="H207" s="4">
        <v>17.98</v>
      </c>
      <c r="I207" s="4" t="s">
        <v>12</v>
      </c>
      <c r="J207" s="4">
        <v>784</v>
      </c>
      <c r="K207" s="5">
        <v>42325</v>
      </c>
      <c r="L207" s="4" t="s">
        <v>333</v>
      </c>
      <c r="M207" s="4"/>
      <c r="N207" s="4"/>
      <c r="O207" s="4">
        <v>92</v>
      </c>
    </row>
    <row r="208" spans="1:15" x14ac:dyDescent="0.25">
      <c r="A208" s="2" t="s">
        <v>566</v>
      </c>
      <c r="B208" s="2" t="s">
        <v>567</v>
      </c>
      <c r="C208" s="2" t="s">
        <v>9</v>
      </c>
      <c r="D208" s="2">
        <v>4.8</v>
      </c>
      <c r="E208" s="2">
        <v>22304</v>
      </c>
      <c r="F208" s="2" t="s">
        <v>10</v>
      </c>
      <c r="G208" s="2" t="s">
        <v>568</v>
      </c>
      <c r="H208" s="2">
        <v>14.13</v>
      </c>
      <c r="I208" s="2" t="s">
        <v>153</v>
      </c>
      <c r="J208" s="2">
        <v>144</v>
      </c>
      <c r="K208" s="3">
        <v>38838</v>
      </c>
      <c r="L208" s="2" t="s">
        <v>61</v>
      </c>
      <c r="M208" s="2"/>
      <c r="N208" s="2"/>
      <c r="O208" s="2">
        <v>93</v>
      </c>
    </row>
    <row r="209" spans="1:15" x14ac:dyDescent="0.25">
      <c r="A209" s="4" t="s">
        <v>569</v>
      </c>
      <c r="B209" s="4" t="s">
        <v>570</v>
      </c>
      <c r="C209" s="4" t="s">
        <v>15</v>
      </c>
      <c r="D209" s="4">
        <v>4.7</v>
      </c>
      <c r="E209" s="4">
        <v>22093</v>
      </c>
      <c r="F209" s="4" t="s">
        <v>10</v>
      </c>
      <c r="G209" s="4" t="s">
        <v>571</v>
      </c>
      <c r="H209" s="4">
        <v>9.64</v>
      </c>
      <c r="I209" s="4" t="s">
        <v>12</v>
      </c>
      <c r="J209" s="4">
        <v>1040</v>
      </c>
      <c r="K209" s="5">
        <v>45923</v>
      </c>
      <c r="L209" s="4" t="s">
        <v>17</v>
      </c>
      <c r="M209" s="4"/>
      <c r="N209" s="4"/>
      <c r="O209" s="4">
        <v>96</v>
      </c>
    </row>
    <row r="210" spans="1:15" x14ac:dyDescent="0.25">
      <c r="A210" s="2" t="s">
        <v>572</v>
      </c>
      <c r="B210" s="2" t="s">
        <v>573</v>
      </c>
      <c r="C210" s="2" t="s">
        <v>57</v>
      </c>
      <c r="D210" s="2">
        <v>4.9000000000000004</v>
      </c>
      <c r="E210" s="2">
        <v>3433</v>
      </c>
      <c r="F210" s="2" t="s">
        <v>10</v>
      </c>
      <c r="G210" s="2" t="s">
        <v>574</v>
      </c>
      <c r="H210" s="2">
        <v>9.65</v>
      </c>
      <c r="I210" s="2" t="s">
        <v>12</v>
      </c>
      <c r="J210" s="2">
        <v>304</v>
      </c>
      <c r="K210" s="3">
        <v>45734</v>
      </c>
      <c r="L210" s="2" t="s">
        <v>127</v>
      </c>
      <c r="M210" s="2"/>
      <c r="N210" s="2"/>
      <c r="O210" s="2">
        <v>97</v>
      </c>
    </row>
    <row r="211" spans="1:15" x14ac:dyDescent="0.25">
      <c r="A211" s="4" t="s">
        <v>575</v>
      </c>
      <c r="B211" s="4" t="s">
        <v>576</v>
      </c>
      <c r="C211" s="4" t="s">
        <v>15</v>
      </c>
      <c r="D211" s="4">
        <v>4.7</v>
      </c>
      <c r="E211" s="4">
        <v>3098</v>
      </c>
      <c r="F211" s="4" t="s">
        <v>24</v>
      </c>
      <c r="G211" s="4" t="s">
        <v>577</v>
      </c>
      <c r="H211" s="4">
        <v>26.88</v>
      </c>
      <c r="I211" s="4" t="s">
        <v>12</v>
      </c>
      <c r="J211" s="4">
        <v>224</v>
      </c>
      <c r="K211" s="5">
        <v>45536</v>
      </c>
      <c r="L211" s="4" t="s">
        <v>374</v>
      </c>
      <c r="M211" s="4"/>
      <c r="N211" s="4"/>
      <c r="O211" s="4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19E1-DB78-4A8E-B045-56B1944AC05A}">
  <dimension ref="A1:Q197"/>
  <sheetViews>
    <sheetView topLeftCell="A2" workbookViewId="0">
      <selection activeCell="P2" sqref="P2"/>
    </sheetView>
  </sheetViews>
  <sheetFormatPr defaultRowHeight="15" x14ac:dyDescent="0.25"/>
  <cols>
    <col min="1" max="1" width="81.140625" bestFit="1" customWidth="1"/>
    <col min="2" max="2" width="34.140625" bestFit="1" customWidth="1"/>
    <col min="3" max="3" width="15.42578125" bestFit="1" customWidth="1"/>
    <col min="4" max="4" width="10.28515625" bestFit="1" customWidth="1"/>
    <col min="5" max="5" width="16.5703125" bestFit="1" customWidth="1"/>
    <col min="6" max="6" width="16.42578125" bestFit="1" customWidth="1"/>
    <col min="7" max="7" width="7.7109375" style="9" bestFit="1" customWidth="1"/>
    <col min="8" max="8" width="11.5703125" bestFit="1" customWidth="1"/>
    <col min="9" max="9" width="15.140625" bestFit="1" customWidth="1"/>
    <col min="10" max="10" width="14" bestFit="1" customWidth="1"/>
    <col min="11" max="11" width="17.140625" style="6" bestFit="1" customWidth="1"/>
    <col min="12" max="12" width="35.5703125" bestFit="1" customWidth="1"/>
    <col min="13" max="15" width="10" bestFit="1" customWidth="1"/>
    <col min="16" max="16" width="17.85546875" bestFit="1" customWidth="1"/>
    <col min="17" max="17" width="18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582</v>
      </c>
      <c r="E1" t="s">
        <v>579</v>
      </c>
      <c r="F1" t="s">
        <v>580</v>
      </c>
      <c r="G1" s="9" t="s">
        <v>581</v>
      </c>
      <c r="H1" t="s">
        <v>583</v>
      </c>
      <c r="I1" t="s">
        <v>3</v>
      </c>
      <c r="J1" t="s">
        <v>4</v>
      </c>
      <c r="K1" s="6" t="s">
        <v>5</v>
      </c>
      <c r="L1" t="s">
        <v>6</v>
      </c>
      <c r="M1" t="s">
        <v>585</v>
      </c>
      <c r="N1" t="s">
        <v>584</v>
      </c>
      <c r="O1" t="s">
        <v>586</v>
      </c>
      <c r="P1" t="s">
        <v>603</v>
      </c>
      <c r="Q1" t="s">
        <v>604</v>
      </c>
    </row>
    <row r="2" spans="1:17" x14ac:dyDescent="0.25">
      <c r="A2" t="s">
        <v>272</v>
      </c>
      <c r="B2" t="s">
        <v>594</v>
      </c>
      <c r="C2" t="s">
        <v>57</v>
      </c>
      <c r="D2" s="7">
        <v>4.9000000000000004</v>
      </c>
      <c r="E2">
        <v>65142</v>
      </c>
      <c r="F2" t="s">
        <v>24</v>
      </c>
      <c r="G2" s="9" t="s">
        <v>274</v>
      </c>
      <c r="H2" s="10">
        <v>52.62</v>
      </c>
      <c r="I2" t="s">
        <v>275</v>
      </c>
      <c r="K2" s="6">
        <v>39995</v>
      </c>
      <c r="L2" t="s">
        <v>61</v>
      </c>
      <c r="M2">
        <v>81</v>
      </c>
      <c r="P2" s="7" t="str">
        <f>IF(Books_DB_F[[#This Row],[Rating F]]&gt;=4.7,"High",IF(Books_DB_F[[#This Row],[Rating F]]&gt;=4.4,"Medium","Low"))</f>
        <v>High</v>
      </c>
      <c r="Q2" s="7" t="str">
        <f>IF(Books_DB_F[[#This Row],[Price F($)]]&gt;48,"Premium",IF(Books_DB_F[[#This Row],[Price F($)]]&gt;25,"Mid","Budget"))</f>
        <v>Premium</v>
      </c>
    </row>
    <row r="3" spans="1:17" x14ac:dyDescent="0.25">
      <c r="A3" t="s">
        <v>245</v>
      </c>
      <c r="B3" t="s">
        <v>85</v>
      </c>
      <c r="C3" t="s">
        <v>9</v>
      </c>
      <c r="D3" s="7">
        <v>4.8</v>
      </c>
      <c r="E3">
        <v>52380</v>
      </c>
      <c r="F3" t="s">
        <v>24</v>
      </c>
      <c r="G3" s="9" t="s">
        <v>246</v>
      </c>
      <c r="H3" s="10">
        <v>47.9</v>
      </c>
      <c r="I3" t="s">
        <v>12</v>
      </c>
      <c r="J3">
        <v>2896</v>
      </c>
      <c r="K3" s="6">
        <v>44866</v>
      </c>
      <c r="L3" t="s">
        <v>17</v>
      </c>
      <c r="M3">
        <v>72</v>
      </c>
      <c r="N3">
        <v>27</v>
      </c>
      <c r="O3">
        <v>85</v>
      </c>
      <c r="P3" s="7" t="str">
        <f>IF(Books_DB_F[[#This Row],[Rating F]]&gt;=4.7,"High",IF(Books_DB_F[[#This Row],[Rating F]]&gt;=4.4,"Medium","Low"))</f>
        <v>High</v>
      </c>
      <c r="Q3" s="7" t="str">
        <f>IF(Books_DB_F[[#This Row],[Price F($)]]&gt;48,"Premium",IF(Books_DB_F[[#This Row],[Price F($)]]&gt;25,"Mid","Budget"))</f>
        <v>Mid</v>
      </c>
    </row>
    <row r="4" spans="1:17" x14ac:dyDescent="0.25">
      <c r="A4" t="s">
        <v>469</v>
      </c>
      <c r="B4" t="s">
        <v>470</v>
      </c>
      <c r="C4" t="s">
        <v>15</v>
      </c>
      <c r="D4" s="7">
        <v>4.7</v>
      </c>
      <c r="E4">
        <v>14335</v>
      </c>
      <c r="F4" t="s">
        <v>24</v>
      </c>
      <c r="G4" s="9" t="s">
        <v>471</v>
      </c>
      <c r="H4" s="10">
        <v>37.01</v>
      </c>
      <c r="I4" t="s">
        <v>468</v>
      </c>
      <c r="J4">
        <v>288</v>
      </c>
      <c r="K4" s="6">
        <v>45534</v>
      </c>
      <c r="L4" t="s">
        <v>42</v>
      </c>
      <c r="O4">
        <v>3</v>
      </c>
      <c r="P4" s="7" t="str">
        <f>IF(Books_DB_F[[#This Row],[Rating F]]&gt;=4.7,"High",IF(Books_DB_F[[#This Row],[Rating F]]&gt;=4.4,"Medium","Low"))</f>
        <v>High</v>
      </c>
      <c r="Q4" s="7" t="str">
        <f>IF(Books_DB_F[[#This Row],[Price F($)]]&gt;48,"Premium",IF(Books_DB_F[[#This Row],[Price F($)]]&gt;25,"Mid","Budget"))</f>
        <v>Mid</v>
      </c>
    </row>
    <row r="5" spans="1:17" x14ac:dyDescent="0.25">
      <c r="A5" t="s">
        <v>547</v>
      </c>
      <c r="B5" t="s">
        <v>548</v>
      </c>
      <c r="C5" t="s">
        <v>15</v>
      </c>
      <c r="D5" s="7">
        <v>4.7</v>
      </c>
      <c r="E5">
        <v>3577</v>
      </c>
      <c r="F5" t="s">
        <v>24</v>
      </c>
      <c r="G5" s="9" t="s">
        <v>549</v>
      </c>
      <c r="H5" s="10">
        <v>37</v>
      </c>
      <c r="I5" t="s">
        <v>12</v>
      </c>
      <c r="J5">
        <v>240</v>
      </c>
      <c r="K5" s="6">
        <v>45292</v>
      </c>
      <c r="L5" t="s">
        <v>459</v>
      </c>
      <c r="O5">
        <v>80</v>
      </c>
      <c r="P5" s="7" t="str">
        <f>IF(Books_DB_F[[#This Row],[Rating F]]&gt;=4.7,"High",IF(Books_DB_F[[#This Row],[Rating F]]&gt;=4.4,"Medium","Low"))</f>
        <v>High</v>
      </c>
      <c r="Q5" s="7" t="str">
        <f>IF(Books_DB_F[[#This Row],[Price F($)]]&gt;48,"Premium",IF(Books_DB_F[[#This Row],[Price F($)]]&gt;25,"Mid","Budget"))</f>
        <v>Mid</v>
      </c>
    </row>
    <row r="6" spans="1:17" x14ac:dyDescent="0.25">
      <c r="A6" t="s">
        <v>396</v>
      </c>
      <c r="B6" t="s">
        <v>397</v>
      </c>
      <c r="C6" t="s">
        <v>15</v>
      </c>
      <c r="D6" s="7">
        <v>4.7</v>
      </c>
      <c r="E6">
        <v>23656</v>
      </c>
      <c r="F6" t="s">
        <v>24</v>
      </c>
      <c r="G6" s="9" t="s">
        <v>398</v>
      </c>
      <c r="H6" s="10">
        <v>36</v>
      </c>
      <c r="I6" t="s">
        <v>12</v>
      </c>
      <c r="J6">
        <v>304</v>
      </c>
      <c r="K6" s="6">
        <v>43466</v>
      </c>
      <c r="L6" t="s">
        <v>42</v>
      </c>
      <c r="N6">
        <v>59</v>
      </c>
      <c r="P6" s="7" t="str">
        <f>IF(Books_DB_F[[#This Row],[Rating F]]&gt;=4.7,"High",IF(Books_DB_F[[#This Row],[Rating F]]&gt;=4.4,"Medium","Low"))</f>
        <v>High</v>
      </c>
      <c r="Q6" s="7" t="str">
        <f>IF(Books_DB_F[[#This Row],[Price F($)]]&gt;48,"Premium",IF(Books_DB_F[[#This Row],[Price F($)]]&gt;25,"Mid","Budget"))</f>
        <v>Mid</v>
      </c>
    </row>
    <row r="7" spans="1:17" x14ac:dyDescent="0.25">
      <c r="A7" t="s">
        <v>494</v>
      </c>
      <c r="B7" t="s">
        <v>495</v>
      </c>
      <c r="C7" t="s">
        <v>57</v>
      </c>
      <c r="D7" s="7">
        <v>4.9000000000000004</v>
      </c>
      <c r="E7">
        <v>476</v>
      </c>
      <c r="F7" t="s">
        <v>10</v>
      </c>
      <c r="G7" s="9" t="s">
        <v>496</v>
      </c>
      <c r="H7" s="10">
        <v>29.99</v>
      </c>
      <c r="I7" t="s">
        <v>12</v>
      </c>
      <c r="J7">
        <v>267</v>
      </c>
      <c r="K7" s="6">
        <v>46000</v>
      </c>
      <c r="L7" t="s">
        <v>374</v>
      </c>
      <c r="O7">
        <v>45</v>
      </c>
      <c r="P7" s="7" t="str">
        <f>IF(Books_DB_F[[#This Row],[Rating F]]&gt;=4.7,"High",IF(Books_DB_F[[#This Row],[Rating F]]&gt;=4.4,"Medium","Low"))</f>
        <v>High</v>
      </c>
      <c r="Q7" s="7" t="str">
        <f>IF(Books_DB_F[[#This Row],[Price F($)]]&gt;48,"Premium",IF(Books_DB_F[[#This Row],[Price F($)]]&gt;25,"Mid","Budget"))</f>
        <v>Mid</v>
      </c>
    </row>
    <row r="8" spans="1:17" x14ac:dyDescent="0.25">
      <c r="A8" t="s">
        <v>154</v>
      </c>
      <c r="B8" t="s">
        <v>14</v>
      </c>
      <c r="C8" t="s">
        <v>32</v>
      </c>
      <c r="D8" s="7">
        <v>4.5999999999999996</v>
      </c>
      <c r="E8">
        <v>5028</v>
      </c>
      <c r="F8" t="s">
        <v>10</v>
      </c>
      <c r="G8" s="9" t="s">
        <v>155</v>
      </c>
      <c r="H8" s="10">
        <v>26.91</v>
      </c>
      <c r="I8" t="s">
        <v>12</v>
      </c>
      <c r="J8">
        <v>528</v>
      </c>
      <c r="K8" s="6">
        <v>45237</v>
      </c>
      <c r="L8" t="s">
        <v>17</v>
      </c>
      <c r="M8">
        <v>41</v>
      </c>
      <c r="P8" s="7" t="str">
        <f>IF(Books_DB_F[[#This Row],[Rating F]]&gt;=4.7,"High",IF(Books_DB_F[[#This Row],[Rating F]]&gt;=4.4,"Medium","Low"))</f>
        <v>Medium</v>
      </c>
      <c r="Q8" s="7" t="str">
        <f>IF(Books_DB_F[[#This Row],[Price F($)]]&gt;48,"Premium",IF(Books_DB_F[[#This Row],[Price F($)]]&gt;25,"Mid","Budget"))</f>
        <v>Mid</v>
      </c>
    </row>
    <row r="9" spans="1:17" x14ac:dyDescent="0.25">
      <c r="A9" t="s">
        <v>575</v>
      </c>
      <c r="B9" t="s">
        <v>576</v>
      </c>
      <c r="C9" t="s">
        <v>15</v>
      </c>
      <c r="D9" s="7">
        <v>4.7</v>
      </c>
      <c r="E9">
        <v>3098</v>
      </c>
      <c r="F9" t="s">
        <v>24</v>
      </c>
      <c r="G9" s="9" t="s">
        <v>577</v>
      </c>
      <c r="H9" s="10">
        <v>26.88</v>
      </c>
      <c r="I9" t="s">
        <v>12</v>
      </c>
      <c r="J9">
        <v>224</v>
      </c>
      <c r="K9" s="6">
        <v>45536</v>
      </c>
      <c r="L9" t="s">
        <v>374</v>
      </c>
      <c r="O9">
        <v>98</v>
      </c>
      <c r="P9" s="7" t="str">
        <f>IF(Books_DB_F[[#This Row],[Rating F]]&gt;=4.7,"High",IF(Books_DB_F[[#This Row],[Rating F]]&gt;=4.4,"Medium","Low"))</f>
        <v>High</v>
      </c>
      <c r="Q9" s="7" t="str">
        <f>IF(Books_DB_F[[#This Row],[Price F($)]]&gt;48,"Premium",IF(Books_DB_F[[#This Row],[Price F($)]]&gt;25,"Mid","Budget"))</f>
        <v>Mid</v>
      </c>
    </row>
    <row r="10" spans="1:17" x14ac:dyDescent="0.25">
      <c r="A10" t="s">
        <v>392</v>
      </c>
      <c r="B10" t="s">
        <v>393</v>
      </c>
      <c r="C10" t="s">
        <v>57</v>
      </c>
      <c r="D10" s="7">
        <v>4.9000000000000004</v>
      </c>
      <c r="E10">
        <v>15513</v>
      </c>
      <c r="F10" t="s">
        <v>394</v>
      </c>
      <c r="G10" s="9" t="s">
        <v>395</v>
      </c>
      <c r="H10" s="10">
        <v>25.64</v>
      </c>
      <c r="I10" t="s">
        <v>12</v>
      </c>
      <c r="J10">
        <v>1400</v>
      </c>
      <c r="K10" s="6">
        <v>43891</v>
      </c>
      <c r="L10" t="s">
        <v>374</v>
      </c>
      <c r="N10">
        <v>58</v>
      </c>
      <c r="P10" s="7" t="str">
        <f>IF(Books_DB_F[[#This Row],[Rating F]]&gt;=4.7,"High",IF(Books_DB_F[[#This Row],[Rating F]]&gt;=4.4,"Medium","Low"))</f>
        <v>High</v>
      </c>
      <c r="Q10" s="7" t="str">
        <f>IF(Books_DB_F[[#This Row],[Price F($)]]&gt;48,"Premium",IF(Books_DB_F[[#This Row],[Price F($)]]&gt;25,"Mid","Budget"))</f>
        <v>Mid</v>
      </c>
    </row>
    <row r="11" spans="1:17" x14ac:dyDescent="0.25">
      <c r="A11" t="s">
        <v>255</v>
      </c>
      <c r="B11" t="s">
        <v>256</v>
      </c>
      <c r="C11" t="s">
        <v>9</v>
      </c>
      <c r="D11" s="7">
        <v>4.8</v>
      </c>
      <c r="E11">
        <v>104512</v>
      </c>
      <c r="F11" t="s">
        <v>24</v>
      </c>
      <c r="G11" s="9" t="s">
        <v>257</v>
      </c>
      <c r="H11" s="10">
        <v>24.99</v>
      </c>
      <c r="I11" t="s">
        <v>12</v>
      </c>
      <c r="J11">
        <v>364</v>
      </c>
      <c r="K11" s="6">
        <v>43444</v>
      </c>
      <c r="L11" t="s">
        <v>13</v>
      </c>
      <c r="M11">
        <v>76</v>
      </c>
      <c r="P11" s="7" t="str">
        <f>IF(Books_DB_F[[#This Row],[Rating F]]&gt;=4.7,"High",IF(Books_DB_F[[#This Row],[Rating F]]&gt;=4.4,"Medium","Low"))</f>
        <v>High</v>
      </c>
      <c r="Q11" s="7" t="str">
        <f>IF(Books_DB_F[[#This Row],[Price F($)]]&gt;48,"Premium",IF(Books_DB_F[[#This Row],[Price F($)]]&gt;25,"Mid","Budget"))</f>
        <v>Budget</v>
      </c>
    </row>
    <row r="12" spans="1:17" x14ac:dyDescent="0.25">
      <c r="A12" t="s">
        <v>258</v>
      </c>
      <c r="B12" t="s">
        <v>259</v>
      </c>
      <c r="C12" t="s">
        <v>9</v>
      </c>
      <c r="D12" s="7">
        <v>4.8</v>
      </c>
      <c r="E12">
        <v>14746</v>
      </c>
      <c r="F12" t="s">
        <v>24</v>
      </c>
      <c r="G12" s="9" t="s">
        <v>260</v>
      </c>
      <c r="H12" s="10">
        <v>24.62</v>
      </c>
      <c r="I12" t="s">
        <v>261</v>
      </c>
      <c r="J12">
        <v>928</v>
      </c>
      <c r="K12" s="6">
        <v>41401</v>
      </c>
      <c r="L12" t="s">
        <v>17</v>
      </c>
      <c r="M12">
        <v>77</v>
      </c>
      <c r="P12" s="7" t="str">
        <f>IF(Books_DB_F[[#This Row],[Rating F]]&gt;=4.7,"High",IF(Books_DB_F[[#This Row],[Rating F]]&gt;=4.4,"Medium","Low"))</f>
        <v>High</v>
      </c>
      <c r="Q12" s="7" t="str">
        <f>IF(Books_DB_F[[#This Row],[Price F($)]]&gt;48,"Premium",IF(Books_DB_F[[#This Row],[Price F($)]]&gt;25,"Mid","Budget"))</f>
        <v>Budget</v>
      </c>
    </row>
    <row r="13" spans="1:17" x14ac:dyDescent="0.25">
      <c r="A13" t="s">
        <v>454</v>
      </c>
      <c r="B13" t="s">
        <v>455</v>
      </c>
      <c r="C13" t="s">
        <v>57</v>
      </c>
      <c r="D13" s="7">
        <v>4.9000000000000004</v>
      </c>
      <c r="E13">
        <v>13299</v>
      </c>
      <c r="F13" t="s">
        <v>10</v>
      </c>
      <c r="G13" s="9" t="s">
        <v>456</v>
      </c>
      <c r="H13" s="10">
        <v>24.34</v>
      </c>
      <c r="I13" t="s">
        <v>94</v>
      </c>
      <c r="J13">
        <v>832</v>
      </c>
      <c r="K13" s="6">
        <v>44075</v>
      </c>
      <c r="L13" t="s">
        <v>374</v>
      </c>
      <c r="N13">
        <v>93</v>
      </c>
      <c r="O13">
        <v>43</v>
      </c>
      <c r="P13" s="7" t="str">
        <f>IF(Books_DB_F[[#This Row],[Rating F]]&gt;=4.7,"High",IF(Books_DB_F[[#This Row],[Rating F]]&gt;=4.4,"Medium","Low"))</f>
        <v>High</v>
      </c>
      <c r="Q13" s="7" t="str">
        <f>IF(Books_DB_F[[#This Row],[Price F($)]]&gt;48,"Premium",IF(Books_DB_F[[#This Row],[Price F($)]]&gt;25,"Mid","Budget"))</f>
        <v>Budget</v>
      </c>
    </row>
    <row r="14" spans="1:17" x14ac:dyDescent="0.25">
      <c r="A14" t="s">
        <v>165</v>
      </c>
      <c r="B14" t="s">
        <v>166</v>
      </c>
      <c r="C14" t="s">
        <v>15</v>
      </c>
      <c r="D14" s="7">
        <v>4.7</v>
      </c>
      <c r="E14">
        <v>6331</v>
      </c>
      <c r="F14" t="s">
        <v>24</v>
      </c>
      <c r="G14" s="9" t="s">
        <v>167</v>
      </c>
      <c r="H14" s="10">
        <v>23.66</v>
      </c>
      <c r="I14" t="s">
        <v>12</v>
      </c>
      <c r="J14">
        <v>138</v>
      </c>
      <c r="K14" s="6">
        <v>44502</v>
      </c>
      <c r="L14" t="s">
        <v>42</v>
      </c>
      <c r="M14">
        <v>45</v>
      </c>
      <c r="P14" s="7" t="str">
        <f>IF(Books_DB_F[[#This Row],[Rating F]]&gt;=4.7,"High",IF(Books_DB_F[[#This Row],[Rating F]]&gt;=4.4,"Medium","Low"))</f>
        <v>High</v>
      </c>
      <c r="Q14" s="7" t="str">
        <f>IF(Books_DB_F[[#This Row],[Price F($)]]&gt;48,"Premium",IF(Books_DB_F[[#This Row],[Price F($)]]&gt;25,"Mid","Budget"))</f>
        <v>Budget</v>
      </c>
    </row>
    <row r="15" spans="1:17" x14ac:dyDescent="0.25">
      <c r="A15" t="s">
        <v>292</v>
      </c>
      <c r="B15" t="s">
        <v>166</v>
      </c>
      <c r="C15" t="s">
        <v>32</v>
      </c>
      <c r="D15" s="7">
        <v>4.5999999999999996</v>
      </c>
      <c r="E15">
        <v>3296</v>
      </c>
      <c r="F15" t="s">
        <v>24</v>
      </c>
      <c r="G15" s="9" t="s">
        <v>293</v>
      </c>
      <c r="H15" s="10">
        <v>21.74</v>
      </c>
      <c r="I15" t="s">
        <v>12</v>
      </c>
      <c r="J15">
        <v>227</v>
      </c>
      <c r="K15" s="6">
        <v>44985</v>
      </c>
      <c r="L15" t="s">
        <v>13</v>
      </c>
      <c r="M15">
        <v>88</v>
      </c>
      <c r="P15" s="7" t="str">
        <f>IF(Books_DB_F[[#This Row],[Rating F]]&gt;=4.7,"High",IF(Books_DB_F[[#This Row],[Rating F]]&gt;=4.4,"Medium","Low"))</f>
        <v>Medium</v>
      </c>
      <c r="Q15" s="7" t="str">
        <f>IF(Books_DB_F[[#This Row],[Price F($)]]&gt;48,"Premium",IF(Books_DB_F[[#This Row],[Price F($)]]&gt;25,"Mid","Budget"))</f>
        <v>Budget</v>
      </c>
    </row>
    <row r="16" spans="1:17" x14ac:dyDescent="0.25">
      <c r="A16" t="s">
        <v>485</v>
      </c>
      <c r="B16" t="s">
        <v>486</v>
      </c>
      <c r="C16" t="s">
        <v>9</v>
      </c>
      <c r="D16" s="7">
        <v>4.8</v>
      </c>
      <c r="E16">
        <v>9378</v>
      </c>
      <c r="F16" t="s">
        <v>10</v>
      </c>
      <c r="G16" s="9" t="s">
        <v>487</v>
      </c>
      <c r="H16" s="10">
        <v>20.98</v>
      </c>
      <c r="I16" t="s">
        <v>12</v>
      </c>
      <c r="J16">
        <v>224</v>
      </c>
      <c r="K16" s="6">
        <v>45937</v>
      </c>
      <c r="L16" t="s">
        <v>37</v>
      </c>
      <c r="O16">
        <v>32</v>
      </c>
      <c r="P16" s="7" t="str">
        <f>IF(Books_DB_F[[#This Row],[Rating F]]&gt;=4.7,"High",IF(Books_DB_F[[#This Row],[Rating F]]&gt;=4.4,"Medium","Low"))</f>
        <v>High</v>
      </c>
      <c r="Q16" s="7" t="str">
        <f>IF(Books_DB_F[[#This Row],[Price F($)]]&gt;48,"Premium",IF(Books_DB_F[[#This Row],[Price F($)]]&gt;25,"Mid","Budget"))</f>
        <v>Budget</v>
      </c>
    </row>
    <row r="17" spans="1:17" x14ac:dyDescent="0.25">
      <c r="A17" t="s">
        <v>326</v>
      </c>
      <c r="B17" t="s">
        <v>270</v>
      </c>
      <c r="C17" t="s">
        <v>15</v>
      </c>
      <c r="D17" s="7">
        <v>4.7</v>
      </c>
      <c r="E17">
        <v>315946</v>
      </c>
      <c r="F17" t="s">
        <v>10</v>
      </c>
      <c r="G17" s="9" t="s">
        <v>327</v>
      </c>
      <c r="H17" s="10">
        <v>20.5</v>
      </c>
      <c r="I17" t="s">
        <v>12</v>
      </c>
      <c r="J17">
        <v>480</v>
      </c>
      <c r="K17" s="6">
        <v>45328</v>
      </c>
      <c r="L17" t="s">
        <v>17</v>
      </c>
      <c r="N17">
        <v>1</v>
      </c>
      <c r="O17">
        <v>44</v>
      </c>
      <c r="P17" s="7" t="str">
        <f>IF(Books_DB_F[[#This Row],[Rating F]]&gt;=4.7,"High",IF(Books_DB_F[[#This Row],[Rating F]]&gt;=4.4,"Medium","Low"))</f>
        <v>High</v>
      </c>
      <c r="Q17" s="7" t="str">
        <f>IF(Books_DB_F[[#This Row],[Price F($)]]&gt;48,"Premium",IF(Books_DB_F[[#This Row],[Price F($)]]&gt;25,"Mid","Budget"))</f>
        <v>Budget</v>
      </c>
    </row>
    <row r="18" spans="1:17" x14ac:dyDescent="0.25">
      <c r="A18" t="s">
        <v>186</v>
      </c>
      <c r="B18" t="s">
        <v>187</v>
      </c>
      <c r="C18" t="s">
        <v>9</v>
      </c>
      <c r="D18" s="7">
        <v>4.8</v>
      </c>
      <c r="E18">
        <v>7876</v>
      </c>
      <c r="F18" t="s">
        <v>10</v>
      </c>
      <c r="G18" s="9" t="s">
        <v>188</v>
      </c>
      <c r="H18" s="10">
        <v>20.190000000000001</v>
      </c>
      <c r="I18" t="s">
        <v>12</v>
      </c>
      <c r="J18">
        <v>496</v>
      </c>
      <c r="K18" s="6">
        <v>45114</v>
      </c>
      <c r="L18" t="s">
        <v>189</v>
      </c>
      <c r="M18">
        <v>53</v>
      </c>
      <c r="P18" s="7" t="str">
        <f>IF(Books_DB_F[[#This Row],[Rating F]]&gt;=4.7,"High",IF(Books_DB_F[[#This Row],[Rating F]]&gt;=4.4,"Medium","Low"))</f>
        <v>High</v>
      </c>
      <c r="Q18" s="7" t="str">
        <f>IF(Books_DB_F[[#This Row],[Price F($)]]&gt;48,"Premium",IF(Books_DB_F[[#This Row],[Price F($)]]&gt;25,"Mid","Budget"))</f>
        <v>Budget</v>
      </c>
    </row>
    <row r="19" spans="1:17" x14ac:dyDescent="0.25">
      <c r="A19" t="s">
        <v>434</v>
      </c>
      <c r="B19" t="s">
        <v>435</v>
      </c>
      <c r="C19" t="s">
        <v>15</v>
      </c>
      <c r="D19" s="7">
        <v>4.7</v>
      </c>
      <c r="E19">
        <v>31249</v>
      </c>
      <c r="F19" t="s">
        <v>10</v>
      </c>
      <c r="G19" s="9" t="s">
        <v>436</v>
      </c>
      <c r="H19" s="10">
        <v>19.989999999999998</v>
      </c>
      <c r="I19" t="s">
        <v>12</v>
      </c>
      <c r="J19">
        <v>1344</v>
      </c>
      <c r="K19" s="6">
        <v>45632</v>
      </c>
      <c r="L19" t="s">
        <v>17</v>
      </c>
      <c r="N19">
        <v>82</v>
      </c>
      <c r="P19" s="7" t="str">
        <f>IF(Books_DB_F[[#This Row],[Rating F]]&gt;=4.7,"High",IF(Books_DB_F[[#This Row],[Rating F]]&gt;=4.4,"Medium","Low"))</f>
        <v>High</v>
      </c>
      <c r="Q19" s="7" t="str">
        <f>IF(Books_DB_F[[#This Row],[Price F($)]]&gt;48,"Premium",IF(Books_DB_F[[#This Row],[Price F($)]]&gt;25,"Mid","Budget"))</f>
        <v>Budget</v>
      </c>
    </row>
    <row r="20" spans="1:17" x14ac:dyDescent="0.25">
      <c r="A20" t="s">
        <v>190</v>
      </c>
      <c r="B20" t="s">
        <v>191</v>
      </c>
      <c r="C20" t="s">
        <v>15</v>
      </c>
      <c r="D20" s="7">
        <v>4.7</v>
      </c>
      <c r="E20">
        <v>22689</v>
      </c>
      <c r="F20" t="s">
        <v>10</v>
      </c>
      <c r="G20" s="9" t="s">
        <v>192</v>
      </c>
      <c r="H20" s="10">
        <v>19.93</v>
      </c>
      <c r="I20" t="s">
        <v>12</v>
      </c>
      <c r="J20">
        <v>688</v>
      </c>
      <c r="K20" s="6">
        <v>45181</v>
      </c>
      <c r="L20" t="s">
        <v>22</v>
      </c>
      <c r="M20">
        <v>54</v>
      </c>
      <c r="P20" s="7" t="str">
        <f>IF(Books_DB_F[[#This Row],[Rating F]]&gt;=4.7,"High",IF(Books_DB_F[[#This Row],[Rating F]]&gt;=4.4,"Medium","Low"))</f>
        <v>High</v>
      </c>
      <c r="Q20" s="7" t="str">
        <f>IF(Books_DB_F[[#This Row],[Price F($)]]&gt;48,"Premium",IF(Books_DB_F[[#This Row],[Price F($)]]&gt;25,"Mid","Budget"))</f>
        <v>Budget</v>
      </c>
    </row>
    <row r="21" spans="1:17" x14ac:dyDescent="0.25">
      <c r="A21" t="s">
        <v>379</v>
      </c>
      <c r="B21" t="s">
        <v>597</v>
      </c>
      <c r="C21" t="s">
        <v>15</v>
      </c>
      <c r="D21" s="7">
        <v>4.7</v>
      </c>
      <c r="E21">
        <v>4255</v>
      </c>
      <c r="F21" t="s">
        <v>10</v>
      </c>
      <c r="G21" s="9" t="s">
        <v>381</v>
      </c>
      <c r="H21" s="10">
        <v>19.579999999999998</v>
      </c>
      <c r="I21" t="s">
        <v>12</v>
      </c>
      <c r="J21">
        <v>320</v>
      </c>
      <c r="K21" s="6">
        <v>45412</v>
      </c>
      <c r="L21" t="s">
        <v>42</v>
      </c>
      <c r="N21">
        <v>50</v>
      </c>
      <c r="O21">
        <v>74</v>
      </c>
      <c r="P21" s="7" t="str">
        <f>IF(Books_DB_F[[#This Row],[Rating F]]&gt;=4.7,"High",IF(Books_DB_F[[#This Row],[Rating F]]&gt;=4.4,"Medium","Low"))</f>
        <v>High</v>
      </c>
      <c r="Q21" s="7" t="str">
        <f>IF(Books_DB_F[[#This Row],[Price F($)]]&gt;48,"Premium",IF(Books_DB_F[[#This Row],[Price F($)]]&gt;25,"Mid","Budget"))</f>
        <v>Budget</v>
      </c>
    </row>
    <row r="22" spans="1:17" x14ac:dyDescent="0.25">
      <c r="A22" t="s">
        <v>509</v>
      </c>
      <c r="B22" t="s">
        <v>510</v>
      </c>
      <c r="C22" t="s">
        <v>179</v>
      </c>
      <c r="D22" s="7">
        <v>4.3</v>
      </c>
      <c r="E22">
        <v>147730</v>
      </c>
      <c r="F22" t="s">
        <v>10</v>
      </c>
      <c r="G22" s="9" t="s">
        <v>511</v>
      </c>
      <c r="H22" s="10">
        <v>19.23</v>
      </c>
      <c r="I22" t="s">
        <v>12</v>
      </c>
      <c r="J22">
        <v>384</v>
      </c>
      <c r="K22" s="6">
        <v>45503</v>
      </c>
      <c r="L22" t="s">
        <v>17</v>
      </c>
      <c r="O22">
        <v>51</v>
      </c>
      <c r="P22" s="7" t="str">
        <f>IF(Books_DB_F[[#This Row],[Rating F]]&gt;=4.7,"High",IF(Books_DB_F[[#This Row],[Rating F]]&gt;=4.4,"Medium","Low"))</f>
        <v>Low</v>
      </c>
      <c r="Q22" s="7" t="str">
        <f>IF(Books_DB_F[[#This Row],[Price F($)]]&gt;48,"Premium",IF(Books_DB_F[[#This Row],[Price F($)]]&gt;25,"Mid","Budget"))</f>
        <v>Budget</v>
      </c>
    </row>
    <row r="23" spans="1:17" x14ac:dyDescent="0.25">
      <c r="A23" t="s">
        <v>7</v>
      </c>
      <c r="B23" t="s">
        <v>8</v>
      </c>
      <c r="C23" t="s">
        <v>9</v>
      </c>
      <c r="D23" s="7">
        <v>4.8</v>
      </c>
      <c r="E23">
        <v>145747</v>
      </c>
      <c r="F23" t="s">
        <v>10</v>
      </c>
      <c r="G23" s="9" t="s">
        <v>11</v>
      </c>
      <c r="H23" s="10">
        <v>18.88</v>
      </c>
      <c r="I23" t="s">
        <v>12</v>
      </c>
      <c r="J23">
        <v>320</v>
      </c>
      <c r="K23" s="6">
        <v>43389</v>
      </c>
      <c r="L23" t="s">
        <v>13</v>
      </c>
      <c r="M23">
        <v>1</v>
      </c>
      <c r="N23">
        <v>3</v>
      </c>
      <c r="O23">
        <v>6</v>
      </c>
      <c r="P23" s="7" t="str">
        <f>IF(Books_DB_F[[#This Row],[Rating F]]&gt;=4.7,"High",IF(Books_DB_F[[#This Row],[Rating F]]&gt;=4.4,"Medium","Low"))</f>
        <v>High</v>
      </c>
      <c r="Q23" s="7" t="str">
        <f>IF(Books_DB_F[[#This Row],[Price F($)]]&gt;48,"Premium",IF(Books_DB_F[[#This Row],[Price F($)]]&gt;25,"Mid","Budget"))</f>
        <v>Budget</v>
      </c>
    </row>
    <row r="24" spans="1:17" x14ac:dyDescent="0.25">
      <c r="A24" t="s">
        <v>544</v>
      </c>
      <c r="B24" t="s">
        <v>545</v>
      </c>
      <c r="C24" t="s">
        <v>28</v>
      </c>
      <c r="D24" s="7">
        <v>4.4000000000000004</v>
      </c>
      <c r="E24">
        <v>46437</v>
      </c>
      <c r="F24" t="s">
        <v>10</v>
      </c>
      <c r="G24" s="9" t="s">
        <v>546</v>
      </c>
      <c r="H24" s="10">
        <v>18.12</v>
      </c>
      <c r="I24" t="s">
        <v>12</v>
      </c>
      <c r="J24">
        <v>672</v>
      </c>
      <c r="K24" s="6">
        <v>45979</v>
      </c>
      <c r="L24" t="s">
        <v>17</v>
      </c>
      <c r="O24">
        <v>79</v>
      </c>
      <c r="P24" s="7" t="str">
        <f>IF(Books_DB_F[[#This Row],[Rating F]]&gt;=4.7,"High",IF(Books_DB_F[[#This Row],[Rating F]]&gt;=4.4,"Medium","Low"))</f>
        <v>Medium</v>
      </c>
      <c r="Q24" s="7" t="str">
        <f>IF(Books_DB_F[[#This Row],[Price F($)]]&gt;48,"Premium",IF(Books_DB_F[[#This Row],[Price F($)]]&gt;25,"Mid","Budget"))</f>
        <v>Budget</v>
      </c>
    </row>
    <row r="25" spans="1:17" x14ac:dyDescent="0.25">
      <c r="A25" t="s">
        <v>46</v>
      </c>
      <c r="B25" t="s">
        <v>589</v>
      </c>
      <c r="C25" t="s">
        <v>32</v>
      </c>
      <c r="D25" s="7">
        <v>4.5999999999999996</v>
      </c>
      <c r="E25">
        <v>19946</v>
      </c>
      <c r="F25" t="s">
        <v>10</v>
      </c>
      <c r="G25" s="9" t="s">
        <v>48</v>
      </c>
      <c r="H25" s="10">
        <v>18</v>
      </c>
      <c r="I25" t="s">
        <v>12</v>
      </c>
      <c r="J25">
        <v>496</v>
      </c>
      <c r="K25" s="6">
        <v>45013</v>
      </c>
      <c r="L25" t="s">
        <v>42</v>
      </c>
      <c r="M25">
        <v>10</v>
      </c>
      <c r="N25">
        <v>52</v>
      </c>
      <c r="O25">
        <v>62</v>
      </c>
      <c r="P25" s="7" t="str">
        <f>IF(Books_DB_F[[#This Row],[Rating F]]&gt;=4.7,"High",IF(Books_DB_F[[#This Row],[Rating F]]&gt;=4.4,"Medium","Low"))</f>
        <v>Medium</v>
      </c>
      <c r="Q25" s="7" t="str">
        <f>IF(Books_DB_F[[#This Row],[Price F($)]]&gt;48,"Premium",IF(Books_DB_F[[#This Row],[Price F($)]]&gt;25,"Mid","Budget"))</f>
        <v>Budget</v>
      </c>
    </row>
    <row r="26" spans="1:17" x14ac:dyDescent="0.25">
      <c r="A26" t="s">
        <v>563</v>
      </c>
      <c r="B26" t="s">
        <v>564</v>
      </c>
      <c r="C26" t="s">
        <v>15</v>
      </c>
      <c r="D26" s="7">
        <v>4.7</v>
      </c>
      <c r="E26">
        <v>16848</v>
      </c>
      <c r="F26" t="s">
        <v>24</v>
      </c>
      <c r="G26" s="9" t="s">
        <v>565</v>
      </c>
      <c r="H26" s="10">
        <v>17.98</v>
      </c>
      <c r="I26" t="s">
        <v>12</v>
      </c>
      <c r="J26">
        <v>784</v>
      </c>
      <c r="K26" s="6">
        <v>42325</v>
      </c>
      <c r="L26" t="s">
        <v>333</v>
      </c>
      <c r="O26">
        <v>92</v>
      </c>
      <c r="P26" s="7" t="str">
        <f>IF(Books_DB_F[[#This Row],[Rating F]]&gt;=4.7,"High",IF(Books_DB_F[[#This Row],[Rating F]]&gt;=4.4,"Medium","Low"))</f>
        <v>High</v>
      </c>
      <c r="Q26" s="7" t="str">
        <f>IF(Books_DB_F[[#This Row],[Price F($)]]&gt;48,"Premium",IF(Books_DB_F[[#This Row],[Price F($)]]&gt;25,"Mid","Budget"))</f>
        <v>Budget</v>
      </c>
    </row>
    <row r="27" spans="1:17" x14ac:dyDescent="0.25">
      <c r="A27" t="s">
        <v>107</v>
      </c>
      <c r="B27" t="s">
        <v>108</v>
      </c>
      <c r="C27" t="s">
        <v>32</v>
      </c>
      <c r="D27" s="7">
        <v>4.5999999999999996</v>
      </c>
      <c r="E27">
        <v>94536</v>
      </c>
      <c r="F27" t="s">
        <v>10</v>
      </c>
      <c r="G27" s="9" t="s">
        <v>109</v>
      </c>
      <c r="H27" s="10">
        <v>17.96</v>
      </c>
      <c r="I27" t="s">
        <v>12</v>
      </c>
      <c r="J27">
        <v>736</v>
      </c>
      <c r="K27" s="6">
        <v>45048</v>
      </c>
      <c r="L27" t="s">
        <v>17</v>
      </c>
      <c r="M27">
        <v>27</v>
      </c>
      <c r="P27" s="7" t="str">
        <f>IF(Books_DB_F[[#This Row],[Rating F]]&gt;=4.7,"High",IF(Books_DB_F[[#This Row],[Rating F]]&gt;=4.4,"Medium","Low"))</f>
        <v>Medium</v>
      </c>
      <c r="Q27" s="7" t="str">
        <f>IF(Books_DB_F[[#This Row],[Price F($)]]&gt;48,"Premium",IF(Books_DB_F[[#This Row],[Price F($)]]&gt;25,"Mid","Budget"))</f>
        <v>Budget</v>
      </c>
    </row>
    <row r="28" spans="1:17" x14ac:dyDescent="0.25">
      <c r="A28" t="s">
        <v>252</v>
      </c>
      <c r="B28" t="s">
        <v>253</v>
      </c>
      <c r="C28" t="s">
        <v>9</v>
      </c>
      <c r="D28" s="7">
        <v>4.8</v>
      </c>
      <c r="E28">
        <v>127734</v>
      </c>
      <c r="F28" t="s">
        <v>10</v>
      </c>
      <c r="G28" s="9" t="s">
        <v>254</v>
      </c>
      <c r="H28" s="10">
        <v>17.62</v>
      </c>
      <c r="I28" t="s">
        <v>102</v>
      </c>
      <c r="J28">
        <v>128</v>
      </c>
      <c r="K28" s="6">
        <v>43760</v>
      </c>
      <c r="L28" t="s">
        <v>103</v>
      </c>
      <c r="M28">
        <v>75</v>
      </c>
      <c r="P28" s="7" t="str">
        <f>IF(Books_DB_F[[#This Row],[Rating F]]&gt;=4.7,"High",IF(Books_DB_F[[#This Row],[Rating F]]&gt;=4.4,"Medium","Low"))</f>
        <v>High</v>
      </c>
      <c r="Q28" s="7" t="str">
        <f>IF(Books_DB_F[[#This Row],[Price F($)]]&gt;48,"Premium",IF(Books_DB_F[[#This Row],[Price F($)]]&gt;25,"Mid","Budget"))</f>
        <v>Budget</v>
      </c>
    </row>
    <row r="29" spans="1:17" x14ac:dyDescent="0.25">
      <c r="A29" t="s">
        <v>196</v>
      </c>
      <c r="B29" t="s">
        <v>197</v>
      </c>
      <c r="C29" t="s">
        <v>28</v>
      </c>
      <c r="D29" s="7">
        <v>4.4000000000000004</v>
      </c>
      <c r="E29">
        <v>163368</v>
      </c>
      <c r="F29" t="s">
        <v>24</v>
      </c>
      <c r="G29" s="9" t="s">
        <v>198</v>
      </c>
      <c r="H29" s="10">
        <v>17.18</v>
      </c>
      <c r="I29" t="s">
        <v>12</v>
      </c>
      <c r="J29">
        <v>627</v>
      </c>
      <c r="K29" s="6">
        <v>44421</v>
      </c>
      <c r="L29" t="s">
        <v>54</v>
      </c>
      <c r="M29">
        <v>56</v>
      </c>
      <c r="N29">
        <v>87</v>
      </c>
      <c r="P29" s="7" t="str">
        <f>IF(Books_DB_F[[#This Row],[Rating F]]&gt;=4.7,"High",IF(Books_DB_F[[#This Row],[Rating F]]&gt;=4.4,"Medium","Low"))</f>
        <v>Medium</v>
      </c>
      <c r="Q29" s="7" t="str">
        <f>IF(Books_DB_F[[#This Row],[Price F($)]]&gt;48,"Premium",IF(Books_DB_F[[#This Row],[Price F($)]]&gt;25,"Mid","Budget"))</f>
        <v>Budget</v>
      </c>
    </row>
    <row r="30" spans="1:17" x14ac:dyDescent="0.25">
      <c r="A30" t="s">
        <v>81</v>
      </c>
      <c r="B30" t="s">
        <v>82</v>
      </c>
      <c r="C30" t="s">
        <v>32</v>
      </c>
      <c r="D30" s="7">
        <v>4.5999999999999996</v>
      </c>
      <c r="E30">
        <v>146667</v>
      </c>
      <c r="F30" t="s">
        <v>10</v>
      </c>
      <c r="G30" s="9" t="s">
        <v>83</v>
      </c>
      <c r="H30" s="10">
        <v>17.100000000000001</v>
      </c>
      <c r="I30" t="s">
        <v>12</v>
      </c>
      <c r="J30">
        <v>560</v>
      </c>
      <c r="K30" s="6">
        <v>44852</v>
      </c>
      <c r="L30" t="s">
        <v>17</v>
      </c>
      <c r="M30">
        <v>20</v>
      </c>
      <c r="P30" s="7" t="str">
        <f>IF(Books_DB_F[[#This Row],[Rating F]]&gt;=4.7,"High",IF(Books_DB_F[[#This Row],[Rating F]]&gt;=4.4,"Medium","Low"))</f>
        <v>Medium</v>
      </c>
      <c r="Q30" s="7" t="str">
        <f>IF(Books_DB_F[[#This Row],[Price F($)]]&gt;48,"Premium",IF(Books_DB_F[[#This Row],[Price F($)]]&gt;25,"Mid","Budget"))</f>
        <v>Budget</v>
      </c>
    </row>
    <row r="31" spans="1:17" x14ac:dyDescent="0.25">
      <c r="A31" t="s">
        <v>349</v>
      </c>
      <c r="B31" t="s">
        <v>350</v>
      </c>
      <c r="C31" t="s">
        <v>32</v>
      </c>
      <c r="D31" s="7">
        <v>4.5999999999999996</v>
      </c>
      <c r="E31">
        <v>12421</v>
      </c>
      <c r="F31" t="s">
        <v>10</v>
      </c>
      <c r="G31" s="9" t="s">
        <v>351</v>
      </c>
      <c r="H31" s="10">
        <v>17</v>
      </c>
      <c r="I31" t="s">
        <v>12</v>
      </c>
      <c r="J31">
        <v>256</v>
      </c>
      <c r="K31" s="6">
        <v>45573</v>
      </c>
      <c r="L31" t="s">
        <v>22</v>
      </c>
      <c r="N31">
        <v>17</v>
      </c>
      <c r="P31" s="7" t="str">
        <f>IF(Books_DB_F[[#This Row],[Rating F]]&gt;=4.7,"High",IF(Books_DB_F[[#This Row],[Rating F]]&gt;=4.4,"Medium","Low"))</f>
        <v>Medium</v>
      </c>
      <c r="Q31" s="7" t="str">
        <f>IF(Books_DB_F[[#This Row],[Price F($)]]&gt;48,"Premium",IF(Books_DB_F[[#This Row],[Price F($)]]&gt;25,"Mid","Budget"))</f>
        <v>Budget</v>
      </c>
    </row>
    <row r="32" spans="1:17" x14ac:dyDescent="0.25">
      <c r="A32" t="s">
        <v>488</v>
      </c>
      <c r="B32" t="s">
        <v>599</v>
      </c>
      <c r="C32" t="s">
        <v>15</v>
      </c>
      <c r="D32" s="7">
        <v>4.7</v>
      </c>
      <c r="E32">
        <v>3765</v>
      </c>
      <c r="F32" t="s">
        <v>24</v>
      </c>
      <c r="G32" s="9" t="s">
        <v>351</v>
      </c>
      <c r="H32" s="10">
        <v>17</v>
      </c>
      <c r="I32" t="s">
        <v>12</v>
      </c>
      <c r="J32">
        <v>360</v>
      </c>
      <c r="K32" s="6">
        <v>43952</v>
      </c>
      <c r="L32" t="s">
        <v>42</v>
      </c>
      <c r="O32">
        <v>33</v>
      </c>
      <c r="P32" s="7" t="str">
        <f>IF(Books_DB_F[[#This Row],[Rating F]]&gt;=4.7,"High",IF(Books_DB_F[[#This Row],[Rating F]]&gt;=4.4,"Medium","Low"))</f>
        <v>High</v>
      </c>
      <c r="Q32" s="7" t="str">
        <f>IF(Books_DB_F[[#This Row],[Price F($)]]&gt;48,"Premium",IF(Books_DB_F[[#This Row],[Price F($)]]&gt;25,"Mid","Budget"))</f>
        <v>Budget</v>
      </c>
    </row>
    <row r="33" spans="1:17" x14ac:dyDescent="0.25">
      <c r="A33" t="s">
        <v>70</v>
      </c>
      <c r="B33" t="s">
        <v>71</v>
      </c>
      <c r="C33" t="s">
        <v>15</v>
      </c>
      <c r="D33" s="7">
        <v>4.7</v>
      </c>
      <c r="E33">
        <v>10805</v>
      </c>
      <c r="F33" t="s">
        <v>10</v>
      </c>
      <c r="G33" s="9" t="s">
        <v>72</v>
      </c>
      <c r="H33" s="10">
        <v>16.989999999999998</v>
      </c>
      <c r="I33" t="s">
        <v>12</v>
      </c>
      <c r="J33">
        <v>432</v>
      </c>
      <c r="K33" s="6">
        <v>44943</v>
      </c>
      <c r="L33" t="s">
        <v>42</v>
      </c>
      <c r="M33">
        <v>17</v>
      </c>
      <c r="N33">
        <v>91</v>
      </c>
      <c r="P33" s="7" t="str">
        <f>IF(Books_DB_F[[#This Row],[Rating F]]&gt;=4.7,"High",IF(Books_DB_F[[#This Row],[Rating F]]&gt;=4.4,"Medium","Low"))</f>
        <v>High</v>
      </c>
      <c r="Q33" s="7" t="str">
        <f>IF(Books_DB_F[[#This Row],[Price F($)]]&gt;48,"Premium",IF(Books_DB_F[[#This Row],[Price F($)]]&gt;25,"Mid","Budget"))</f>
        <v>Budget</v>
      </c>
    </row>
    <row r="34" spans="1:17" x14ac:dyDescent="0.25">
      <c r="A34" t="s">
        <v>375</v>
      </c>
      <c r="B34" t="s">
        <v>376</v>
      </c>
      <c r="C34" t="s">
        <v>32</v>
      </c>
      <c r="D34" s="7">
        <v>4.5999999999999996</v>
      </c>
      <c r="E34">
        <v>95147</v>
      </c>
      <c r="F34" t="s">
        <v>10</v>
      </c>
      <c r="G34" s="9" t="s">
        <v>377</v>
      </c>
      <c r="H34" s="10">
        <v>16.809999999999999</v>
      </c>
      <c r="I34" t="s">
        <v>12</v>
      </c>
      <c r="J34">
        <v>320</v>
      </c>
      <c r="K34" s="6">
        <v>45370</v>
      </c>
      <c r="L34" t="s">
        <v>37</v>
      </c>
      <c r="N34">
        <v>42</v>
      </c>
      <c r="O34">
        <v>60</v>
      </c>
      <c r="P34" s="7" t="str">
        <f>IF(Books_DB_F[[#This Row],[Rating F]]&gt;=4.7,"High",IF(Books_DB_F[[#This Row],[Rating F]]&gt;=4.4,"Medium","Low"))</f>
        <v>Medium</v>
      </c>
      <c r="Q34" s="7" t="str">
        <f>IF(Books_DB_F[[#This Row],[Price F($)]]&gt;48,"Premium",IF(Books_DB_F[[#This Row],[Price F($)]]&gt;25,"Mid","Budget"))</f>
        <v>Budget</v>
      </c>
    </row>
    <row r="35" spans="1:17" x14ac:dyDescent="0.25">
      <c r="A35" t="s">
        <v>113</v>
      </c>
      <c r="B35" t="s">
        <v>114</v>
      </c>
      <c r="C35" t="s">
        <v>57</v>
      </c>
      <c r="D35" s="7">
        <v>4.9000000000000004</v>
      </c>
      <c r="E35">
        <v>13217</v>
      </c>
      <c r="F35" t="s">
        <v>10</v>
      </c>
      <c r="G35" s="9" t="s">
        <v>115</v>
      </c>
      <c r="H35" s="10">
        <v>16.78</v>
      </c>
      <c r="I35" t="s">
        <v>12</v>
      </c>
      <c r="J35">
        <v>256</v>
      </c>
      <c r="K35" s="6">
        <v>45132</v>
      </c>
      <c r="L35" t="s">
        <v>116</v>
      </c>
      <c r="M35">
        <v>29</v>
      </c>
      <c r="P35" s="7" t="str">
        <f>IF(Books_DB_F[[#This Row],[Rating F]]&gt;=4.7,"High",IF(Books_DB_F[[#This Row],[Rating F]]&gt;=4.4,"Medium","Low"))</f>
        <v>High</v>
      </c>
      <c r="Q35" s="7" t="str">
        <f>IF(Books_DB_F[[#This Row],[Price F($)]]&gt;48,"Premium",IF(Books_DB_F[[#This Row],[Price F($)]]&gt;25,"Mid","Budget"))</f>
        <v>Budget</v>
      </c>
    </row>
    <row r="36" spans="1:17" x14ac:dyDescent="0.25">
      <c r="A36" t="s">
        <v>387</v>
      </c>
      <c r="B36" t="s">
        <v>388</v>
      </c>
      <c r="C36" t="s">
        <v>20</v>
      </c>
      <c r="D36" s="7">
        <v>4.5</v>
      </c>
      <c r="E36">
        <v>15013</v>
      </c>
      <c r="F36" t="s">
        <v>10</v>
      </c>
      <c r="G36" s="9" t="s">
        <v>389</v>
      </c>
      <c r="H36" s="10">
        <v>16.489999999999998</v>
      </c>
      <c r="I36" t="s">
        <v>12</v>
      </c>
      <c r="J36">
        <v>592</v>
      </c>
      <c r="K36" s="6">
        <v>45412</v>
      </c>
      <c r="L36" t="s">
        <v>22</v>
      </c>
      <c r="N36">
        <v>55</v>
      </c>
      <c r="P36" s="7" t="str">
        <f>IF(Books_DB_F[[#This Row],[Rating F]]&gt;=4.7,"High",IF(Books_DB_F[[#This Row],[Rating F]]&gt;=4.4,"Medium","Low"))</f>
        <v>Medium</v>
      </c>
      <c r="Q36" s="7" t="str">
        <f>IF(Books_DB_F[[#This Row],[Price F($)]]&gt;48,"Premium",IF(Books_DB_F[[#This Row],[Price F($)]]&gt;25,"Mid","Budget"))</f>
        <v>Budget</v>
      </c>
    </row>
    <row r="37" spans="1:17" x14ac:dyDescent="0.25">
      <c r="A37" t="s">
        <v>532</v>
      </c>
      <c r="B37" t="s">
        <v>533</v>
      </c>
      <c r="C37" t="s">
        <v>15</v>
      </c>
      <c r="D37" s="7">
        <v>4.7</v>
      </c>
      <c r="E37">
        <v>17892</v>
      </c>
      <c r="F37" t="s">
        <v>10</v>
      </c>
      <c r="G37" s="9" t="s">
        <v>534</v>
      </c>
      <c r="H37" s="10">
        <v>16.45</v>
      </c>
      <c r="I37" t="s">
        <v>12</v>
      </c>
      <c r="J37">
        <v>400</v>
      </c>
      <c r="K37" s="6">
        <v>45951</v>
      </c>
      <c r="L37" t="s">
        <v>22</v>
      </c>
      <c r="O37">
        <v>67</v>
      </c>
      <c r="P37" s="7" t="str">
        <f>IF(Books_DB_F[[#This Row],[Rating F]]&gt;=4.7,"High",IF(Books_DB_F[[#This Row],[Rating F]]&gt;=4.4,"Medium","Low"))</f>
        <v>High</v>
      </c>
      <c r="Q37" s="7" t="str">
        <f>IF(Books_DB_F[[#This Row],[Price F($)]]&gt;48,"Premium",IF(Books_DB_F[[#This Row],[Price F($)]]&gt;25,"Mid","Budget"))</f>
        <v>Budget</v>
      </c>
    </row>
    <row r="38" spans="1:17" x14ac:dyDescent="0.25">
      <c r="A38" t="s">
        <v>411</v>
      </c>
      <c r="B38" t="s">
        <v>412</v>
      </c>
      <c r="C38" t="s">
        <v>20</v>
      </c>
      <c r="D38" s="7">
        <v>4.5</v>
      </c>
      <c r="E38">
        <v>97696</v>
      </c>
      <c r="F38" t="s">
        <v>10</v>
      </c>
      <c r="G38" s="9" t="s">
        <v>413</v>
      </c>
      <c r="H38" s="10">
        <v>15.79</v>
      </c>
      <c r="I38" t="s">
        <v>12</v>
      </c>
      <c r="J38">
        <v>608</v>
      </c>
      <c r="K38" s="6">
        <v>45468</v>
      </c>
      <c r="L38" t="s">
        <v>54</v>
      </c>
      <c r="N38">
        <v>68</v>
      </c>
      <c r="P38" s="7" t="str">
        <f>IF(Books_DB_F[[#This Row],[Rating F]]&gt;=4.7,"High",IF(Books_DB_F[[#This Row],[Rating F]]&gt;=4.4,"Medium","Low"))</f>
        <v>Medium</v>
      </c>
      <c r="Q38" s="7" t="str">
        <f>IF(Books_DB_F[[#This Row],[Price F($)]]&gt;48,"Premium",IF(Books_DB_F[[#This Row],[Price F($)]]&gt;25,"Mid","Budget"))</f>
        <v>Budget</v>
      </c>
    </row>
    <row r="39" spans="1:17" x14ac:dyDescent="0.25">
      <c r="A39" t="s">
        <v>247</v>
      </c>
      <c r="B39" t="s">
        <v>248</v>
      </c>
      <c r="C39" t="s">
        <v>15</v>
      </c>
      <c r="D39" s="7">
        <v>4.7</v>
      </c>
      <c r="E39">
        <v>109703</v>
      </c>
      <c r="F39" t="s">
        <v>24</v>
      </c>
      <c r="G39" s="9" t="s">
        <v>249</v>
      </c>
      <c r="H39" s="10">
        <v>15.44</v>
      </c>
      <c r="I39" t="s">
        <v>12</v>
      </c>
      <c r="J39">
        <v>320</v>
      </c>
      <c r="K39" s="6">
        <v>36069</v>
      </c>
      <c r="L39" t="s">
        <v>13</v>
      </c>
      <c r="M39">
        <v>73</v>
      </c>
      <c r="N39">
        <v>63</v>
      </c>
      <c r="P39" s="7" t="str">
        <f>IF(Books_DB_F[[#This Row],[Rating F]]&gt;=4.7,"High",IF(Books_DB_F[[#This Row],[Rating F]]&gt;=4.4,"Medium","Low"))</f>
        <v>High</v>
      </c>
      <c r="Q39" s="7" t="str">
        <f>IF(Books_DB_F[[#This Row],[Price F($)]]&gt;48,"Premium",IF(Books_DB_F[[#This Row],[Price F($)]]&gt;25,"Mid","Budget"))</f>
        <v>Budget</v>
      </c>
    </row>
    <row r="40" spans="1:17" x14ac:dyDescent="0.25">
      <c r="A40" t="s">
        <v>497</v>
      </c>
      <c r="B40" t="s">
        <v>498</v>
      </c>
      <c r="C40" t="s">
        <v>20</v>
      </c>
      <c r="D40" s="7">
        <v>4.5</v>
      </c>
      <c r="E40">
        <v>71453</v>
      </c>
      <c r="F40" t="s">
        <v>10</v>
      </c>
      <c r="G40" s="9" t="s">
        <v>499</v>
      </c>
      <c r="H40" s="10">
        <v>15.43</v>
      </c>
      <c r="I40" t="s">
        <v>12</v>
      </c>
      <c r="J40">
        <v>320</v>
      </c>
      <c r="K40" s="6">
        <v>45720</v>
      </c>
      <c r="L40" t="s">
        <v>17</v>
      </c>
      <c r="O40">
        <v>46</v>
      </c>
      <c r="P40" s="7" t="str">
        <f>IF(Books_DB_F[[#This Row],[Rating F]]&gt;=4.7,"High",IF(Books_DB_F[[#This Row],[Rating F]]&gt;=4.4,"Medium","Low"))</f>
        <v>Medium</v>
      </c>
      <c r="Q40" s="7" t="str">
        <f>IF(Books_DB_F[[#This Row],[Price F($)]]&gt;48,"Premium",IF(Books_DB_F[[#This Row],[Price F($)]]&gt;25,"Mid","Budget"))</f>
        <v>Budget</v>
      </c>
    </row>
    <row r="41" spans="1:17" x14ac:dyDescent="0.25">
      <c r="A41" t="s">
        <v>446</v>
      </c>
      <c r="B41" t="s">
        <v>447</v>
      </c>
      <c r="C41" t="s">
        <v>28</v>
      </c>
      <c r="D41" s="7">
        <v>4.4000000000000004</v>
      </c>
      <c r="E41">
        <v>109729</v>
      </c>
      <c r="F41" t="s">
        <v>10</v>
      </c>
      <c r="G41" s="9" t="s">
        <v>448</v>
      </c>
      <c r="H41" s="10">
        <v>15.35</v>
      </c>
      <c r="I41" t="s">
        <v>12</v>
      </c>
      <c r="J41">
        <v>496</v>
      </c>
      <c r="K41" s="6">
        <v>45475</v>
      </c>
      <c r="L41" t="s">
        <v>17</v>
      </c>
      <c r="N41">
        <v>86</v>
      </c>
      <c r="O41">
        <v>87</v>
      </c>
      <c r="P41" s="7" t="str">
        <f>IF(Books_DB_F[[#This Row],[Rating F]]&gt;=4.7,"High",IF(Books_DB_F[[#This Row],[Rating F]]&gt;=4.4,"Medium","Low"))</f>
        <v>Medium</v>
      </c>
      <c r="Q41" s="7" t="str">
        <f>IF(Books_DB_F[[#This Row],[Price F($)]]&gt;48,"Premium",IF(Books_DB_F[[#This Row],[Price F($)]]&gt;25,"Mid","Budget"))</f>
        <v>Budget</v>
      </c>
    </row>
    <row r="42" spans="1:17" x14ac:dyDescent="0.25">
      <c r="A42" t="s">
        <v>512</v>
      </c>
      <c r="B42" t="s">
        <v>513</v>
      </c>
      <c r="C42" t="s">
        <v>32</v>
      </c>
      <c r="D42" s="7">
        <v>4.5999999999999996</v>
      </c>
      <c r="E42">
        <v>7711</v>
      </c>
      <c r="F42" t="s">
        <v>10</v>
      </c>
      <c r="G42" s="9" t="s">
        <v>514</v>
      </c>
      <c r="H42" s="10">
        <v>15.18</v>
      </c>
      <c r="I42" t="s">
        <v>12</v>
      </c>
      <c r="J42">
        <v>320</v>
      </c>
      <c r="K42" s="6">
        <v>45923</v>
      </c>
      <c r="L42" t="s">
        <v>37</v>
      </c>
      <c r="O42">
        <v>54</v>
      </c>
      <c r="P42" s="7" t="str">
        <f>IF(Books_DB_F[[#This Row],[Rating F]]&gt;=4.7,"High",IF(Books_DB_F[[#This Row],[Rating F]]&gt;=4.4,"Medium","Low"))</f>
        <v>Medium</v>
      </c>
      <c r="Q42" s="7" t="str">
        <f>IF(Books_DB_F[[#This Row],[Price F($)]]&gt;48,"Premium",IF(Books_DB_F[[#This Row],[Price F($)]]&gt;25,"Mid","Budget"))</f>
        <v>Budget</v>
      </c>
    </row>
    <row r="43" spans="1:17" x14ac:dyDescent="0.25">
      <c r="A43" t="s">
        <v>231</v>
      </c>
      <c r="B43" t="s">
        <v>592</v>
      </c>
      <c r="C43" t="s">
        <v>28</v>
      </c>
      <c r="D43" s="7">
        <v>4.4000000000000004</v>
      </c>
      <c r="E43">
        <v>73210</v>
      </c>
      <c r="F43" t="s">
        <v>10</v>
      </c>
      <c r="G43" s="9" t="s">
        <v>233</v>
      </c>
      <c r="H43" s="10">
        <v>15.05</v>
      </c>
      <c r="I43" t="s">
        <v>12</v>
      </c>
      <c r="J43">
        <v>400</v>
      </c>
      <c r="K43" s="6">
        <v>45146</v>
      </c>
      <c r="L43" t="s">
        <v>17</v>
      </c>
      <c r="M43">
        <v>68</v>
      </c>
      <c r="N43">
        <v>100</v>
      </c>
      <c r="P43" s="7" t="str">
        <f>IF(Books_DB_F[[#This Row],[Rating F]]&gt;=4.7,"High",IF(Books_DB_F[[#This Row],[Rating F]]&gt;=4.4,"Medium","Low"))</f>
        <v>Medium</v>
      </c>
      <c r="Q43" s="7" t="str">
        <f>IF(Books_DB_F[[#This Row],[Price F($)]]&gt;48,"Premium",IF(Books_DB_F[[#This Row],[Price F($)]]&gt;25,"Mid","Budget"))</f>
        <v>Budget</v>
      </c>
    </row>
    <row r="44" spans="1:17" x14ac:dyDescent="0.25">
      <c r="A44" t="s">
        <v>135</v>
      </c>
      <c r="B44" t="s">
        <v>136</v>
      </c>
      <c r="C44" t="s">
        <v>32</v>
      </c>
      <c r="D44" s="7">
        <v>4.5999999999999996</v>
      </c>
      <c r="E44">
        <v>88321</v>
      </c>
      <c r="F44" t="s">
        <v>58</v>
      </c>
      <c r="G44" s="9" t="s">
        <v>137</v>
      </c>
      <c r="H44" s="10">
        <v>14.99</v>
      </c>
      <c r="I44" t="s">
        <v>130</v>
      </c>
      <c r="J44">
        <v>220</v>
      </c>
      <c r="K44" s="6">
        <v>43215</v>
      </c>
      <c r="L44" t="s">
        <v>61</v>
      </c>
      <c r="M44">
        <v>35</v>
      </c>
      <c r="N44">
        <v>37</v>
      </c>
      <c r="O44">
        <v>13</v>
      </c>
      <c r="P44" s="7" t="str">
        <f>IF(Books_DB_F[[#This Row],[Rating F]]&gt;=4.7,"High",IF(Books_DB_F[[#This Row],[Rating F]]&gt;=4.4,"Medium","Low"))</f>
        <v>Medium</v>
      </c>
      <c r="Q44" s="7" t="str">
        <f>IF(Books_DB_F[[#This Row],[Price F($)]]&gt;48,"Premium",IF(Books_DB_F[[#This Row],[Price F($)]]&gt;25,"Mid","Budget"))</f>
        <v>Budget</v>
      </c>
    </row>
    <row r="45" spans="1:17" x14ac:dyDescent="0.25">
      <c r="A45" t="s">
        <v>560</v>
      </c>
      <c r="B45" t="s">
        <v>561</v>
      </c>
      <c r="C45" t="s">
        <v>9</v>
      </c>
      <c r="D45" s="7">
        <v>4.8</v>
      </c>
      <c r="E45">
        <v>23786</v>
      </c>
      <c r="F45" t="s">
        <v>24</v>
      </c>
      <c r="G45" s="9" t="s">
        <v>562</v>
      </c>
      <c r="H45" s="10">
        <v>14.98</v>
      </c>
      <c r="I45" t="s">
        <v>76</v>
      </c>
      <c r="J45">
        <v>80</v>
      </c>
      <c r="K45" s="6">
        <v>37040</v>
      </c>
      <c r="L45" t="s">
        <v>61</v>
      </c>
      <c r="O45">
        <v>91</v>
      </c>
      <c r="P45" s="7" t="str">
        <f>IF(Books_DB_F[[#This Row],[Rating F]]&gt;=4.7,"High",IF(Books_DB_F[[#This Row],[Rating F]]&gt;=4.4,"Medium","Low"))</f>
        <v>High</v>
      </c>
      <c r="Q45" s="7" t="str">
        <f>IF(Books_DB_F[[#This Row],[Price F($)]]&gt;48,"Premium",IF(Books_DB_F[[#This Row],[Price F($)]]&gt;25,"Mid","Budget"))</f>
        <v>Budget</v>
      </c>
    </row>
    <row r="46" spans="1:17" x14ac:dyDescent="0.25">
      <c r="A46" t="s">
        <v>344</v>
      </c>
      <c r="B46" t="s">
        <v>596</v>
      </c>
      <c r="C46" t="s">
        <v>32</v>
      </c>
      <c r="D46" s="7">
        <v>4.5999999999999996</v>
      </c>
      <c r="E46">
        <v>5091</v>
      </c>
      <c r="F46" t="s">
        <v>10</v>
      </c>
      <c r="G46" s="9" t="s">
        <v>346</v>
      </c>
      <c r="H46" s="10">
        <v>14.88</v>
      </c>
      <c r="I46" t="s">
        <v>12</v>
      </c>
      <c r="J46">
        <v>400</v>
      </c>
      <c r="K46" s="6">
        <v>45426</v>
      </c>
      <c r="L46" t="s">
        <v>42</v>
      </c>
      <c r="N46">
        <v>10</v>
      </c>
      <c r="P46" s="7" t="str">
        <f>IF(Books_DB_F[[#This Row],[Rating F]]&gt;=4.7,"High",IF(Books_DB_F[[#This Row],[Rating F]]&gt;=4.4,"Medium","Low"))</f>
        <v>Medium</v>
      </c>
      <c r="Q46" s="7" t="str">
        <f>IF(Books_DB_F[[#This Row],[Price F($)]]&gt;48,"Premium",IF(Books_DB_F[[#This Row],[Price F($)]]&gt;25,"Mid","Budget"))</f>
        <v>Budget</v>
      </c>
    </row>
    <row r="47" spans="1:17" x14ac:dyDescent="0.25">
      <c r="A47" t="s">
        <v>168</v>
      </c>
      <c r="B47" t="s">
        <v>169</v>
      </c>
      <c r="C47" t="s">
        <v>9</v>
      </c>
      <c r="D47" s="7">
        <v>4.8</v>
      </c>
      <c r="E47">
        <v>17084</v>
      </c>
      <c r="F47" t="s">
        <v>10</v>
      </c>
      <c r="G47" s="9" t="s">
        <v>170</v>
      </c>
      <c r="H47" s="10">
        <v>14.78</v>
      </c>
      <c r="I47" t="s">
        <v>12</v>
      </c>
      <c r="J47">
        <v>384</v>
      </c>
      <c r="K47" s="6">
        <v>45265</v>
      </c>
      <c r="L47" t="s">
        <v>22</v>
      </c>
      <c r="M47">
        <v>46</v>
      </c>
      <c r="P47" s="7" t="str">
        <f>IF(Books_DB_F[[#This Row],[Rating F]]&gt;=4.7,"High",IF(Books_DB_F[[#This Row],[Rating F]]&gt;=4.4,"Medium","Low"))</f>
        <v>High</v>
      </c>
      <c r="Q47" s="7" t="str">
        <f>IF(Books_DB_F[[#This Row],[Price F($)]]&gt;48,"Premium",IF(Books_DB_F[[#This Row],[Price F($)]]&gt;25,"Mid","Budget"))</f>
        <v>Budget</v>
      </c>
    </row>
    <row r="48" spans="1:17" x14ac:dyDescent="0.25">
      <c r="A48" t="s">
        <v>287</v>
      </c>
      <c r="B48" t="s">
        <v>288</v>
      </c>
      <c r="C48" t="s">
        <v>15</v>
      </c>
      <c r="D48" s="7">
        <v>4.7</v>
      </c>
      <c r="E48">
        <v>13739</v>
      </c>
      <c r="F48" t="s">
        <v>24</v>
      </c>
      <c r="G48" s="9" t="s">
        <v>289</v>
      </c>
      <c r="H48" s="10">
        <v>14.71</v>
      </c>
      <c r="I48" t="s">
        <v>12</v>
      </c>
      <c r="J48">
        <v>721</v>
      </c>
      <c r="K48" s="6">
        <v>38838</v>
      </c>
      <c r="L48" t="s">
        <v>22</v>
      </c>
      <c r="M48">
        <v>86</v>
      </c>
      <c r="P48" s="7" t="str">
        <f>IF(Books_DB_F[[#This Row],[Rating F]]&gt;=4.7,"High",IF(Books_DB_F[[#This Row],[Rating F]]&gt;=4.4,"Medium","Low"))</f>
        <v>High</v>
      </c>
      <c r="Q48" s="7" t="str">
        <f>IF(Books_DB_F[[#This Row],[Price F($)]]&gt;48,"Premium",IF(Books_DB_F[[#This Row],[Price F($)]]&gt;25,"Mid","Budget"))</f>
        <v>Budget</v>
      </c>
    </row>
    <row r="49" spans="1:17" x14ac:dyDescent="0.25">
      <c r="A49" t="s">
        <v>159</v>
      </c>
      <c r="B49" t="s">
        <v>160</v>
      </c>
      <c r="C49" t="s">
        <v>32</v>
      </c>
      <c r="D49" s="7">
        <v>4.5999999999999996</v>
      </c>
      <c r="E49">
        <v>129211</v>
      </c>
      <c r="F49" t="s">
        <v>58</v>
      </c>
      <c r="G49" s="9" t="s">
        <v>161</v>
      </c>
      <c r="H49" s="10">
        <v>14.53</v>
      </c>
      <c r="I49" t="s">
        <v>12</v>
      </c>
      <c r="J49">
        <v>368</v>
      </c>
      <c r="K49" s="6">
        <v>44684</v>
      </c>
      <c r="L49" t="s">
        <v>54</v>
      </c>
      <c r="M49">
        <v>43</v>
      </c>
      <c r="N49">
        <v>45</v>
      </c>
      <c r="P49" s="7" t="str">
        <f>IF(Books_DB_F[[#This Row],[Rating F]]&gt;=4.7,"High",IF(Books_DB_F[[#This Row],[Rating F]]&gt;=4.4,"Medium","Low"))</f>
        <v>Medium</v>
      </c>
      <c r="Q49" s="7" t="str">
        <f>IF(Books_DB_F[[#This Row],[Price F($)]]&gt;48,"Premium",IF(Books_DB_F[[#This Row],[Price F($)]]&gt;25,"Mid","Budget"))</f>
        <v>Budget</v>
      </c>
    </row>
    <row r="50" spans="1:17" x14ac:dyDescent="0.25">
      <c r="A50" t="s">
        <v>128</v>
      </c>
      <c r="B50" t="s">
        <v>63</v>
      </c>
      <c r="C50" t="s">
        <v>28</v>
      </c>
      <c r="D50" s="7">
        <v>4.4000000000000004</v>
      </c>
      <c r="E50">
        <v>39574</v>
      </c>
      <c r="F50" t="s">
        <v>10</v>
      </c>
      <c r="G50" s="9" t="s">
        <v>129</v>
      </c>
      <c r="H50" s="10">
        <v>14.47</v>
      </c>
      <c r="I50" t="s">
        <v>130</v>
      </c>
      <c r="J50">
        <v>352</v>
      </c>
      <c r="K50" s="6">
        <v>45034</v>
      </c>
      <c r="L50" t="s">
        <v>22</v>
      </c>
      <c r="M50">
        <v>33</v>
      </c>
      <c r="P50" s="7" t="str">
        <f>IF(Books_DB_F[[#This Row],[Rating F]]&gt;=4.7,"High",IF(Books_DB_F[[#This Row],[Rating F]]&gt;=4.4,"Medium","Low"))</f>
        <v>Medium</v>
      </c>
      <c r="Q50" s="7" t="str">
        <f>IF(Books_DB_F[[#This Row],[Price F($)]]&gt;48,"Premium",IF(Books_DB_F[[#This Row],[Price F($)]]&gt;25,"Mid","Budget"))</f>
        <v>Budget</v>
      </c>
    </row>
    <row r="51" spans="1:17" x14ac:dyDescent="0.25">
      <c r="A51" t="s">
        <v>38</v>
      </c>
      <c r="B51" t="s">
        <v>588</v>
      </c>
      <c r="C51" t="s">
        <v>9</v>
      </c>
      <c r="D51" s="7">
        <v>4.8</v>
      </c>
      <c r="E51">
        <v>82564</v>
      </c>
      <c r="F51" t="s">
        <v>24</v>
      </c>
      <c r="G51" s="9" t="s">
        <v>40</v>
      </c>
      <c r="H51" s="10">
        <v>14.39</v>
      </c>
      <c r="I51" t="s">
        <v>41</v>
      </c>
      <c r="J51">
        <v>464</v>
      </c>
      <c r="K51" s="6">
        <v>42255</v>
      </c>
      <c r="L51" t="s">
        <v>42</v>
      </c>
      <c r="M51">
        <v>8</v>
      </c>
      <c r="N51">
        <v>18</v>
      </c>
      <c r="O51">
        <v>16</v>
      </c>
      <c r="P51" s="7" t="str">
        <f>IF(Books_DB_F[[#This Row],[Rating F]]&gt;=4.7,"High",IF(Books_DB_F[[#This Row],[Rating F]]&gt;=4.4,"Medium","Low"))</f>
        <v>High</v>
      </c>
      <c r="Q51" s="7" t="str">
        <f>IF(Books_DB_F[[#This Row],[Price F($)]]&gt;48,"Premium",IF(Books_DB_F[[#This Row],[Price F($)]]&gt;25,"Mid","Budget"))</f>
        <v>Budget</v>
      </c>
    </row>
    <row r="52" spans="1:17" x14ac:dyDescent="0.25">
      <c r="A52" t="s">
        <v>162</v>
      </c>
      <c r="B52" t="s">
        <v>163</v>
      </c>
      <c r="C52" t="s">
        <v>15</v>
      </c>
      <c r="D52" s="7">
        <v>4.7</v>
      </c>
      <c r="E52">
        <v>68563</v>
      </c>
      <c r="F52" t="s">
        <v>24</v>
      </c>
      <c r="G52" s="9" t="s">
        <v>164</v>
      </c>
      <c r="H52" s="10">
        <v>14.18</v>
      </c>
      <c r="I52" t="s">
        <v>12</v>
      </c>
      <c r="J52">
        <v>256</v>
      </c>
      <c r="K52" s="6">
        <v>44082</v>
      </c>
      <c r="L52" t="s">
        <v>127</v>
      </c>
      <c r="M52">
        <v>44</v>
      </c>
      <c r="N52">
        <v>25</v>
      </c>
      <c r="O52">
        <v>23</v>
      </c>
      <c r="P52" s="7" t="str">
        <f>IF(Books_DB_F[[#This Row],[Rating F]]&gt;=4.7,"High",IF(Books_DB_F[[#This Row],[Rating F]]&gt;=4.4,"Medium","Low"))</f>
        <v>High</v>
      </c>
      <c r="Q52" s="7" t="str">
        <f>IF(Books_DB_F[[#This Row],[Price F($)]]&gt;48,"Premium",IF(Books_DB_F[[#This Row],[Price F($)]]&gt;25,"Mid","Budget"))</f>
        <v>Budget</v>
      </c>
    </row>
    <row r="53" spans="1:17" x14ac:dyDescent="0.25">
      <c r="A53" t="s">
        <v>566</v>
      </c>
      <c r="B53" t="s">
        <v>567</v>
      </c>
      <c r="C53" t="s">
        <v>9</v>
      </c>
      <c r="D53" s="7">
        <v>4.8</v>
      </c>
      <c r="E53">
        <v>22304</v>
      </c>
      <c r="F53" t="s">
        <v>10</v>
      </c>
      <c r="G53" s="9" t="s">
        <v>568</v>
      </c>
      <c r="H53" s="10">
        <v>14.13</v>
      </c>
      <c r="I53" t="s">
        <v>153</v>
      </c>
      <c r="J53">
        <v>144</v>
      </c>
      <c r="K53" s="6">
        <v>38838</v>
      </c>
      <c r="L53" t="s">
        <v>61</v>
      </c>
      <c r="O53">
        <v>93</v>
      </c>
      <c r="P53" s="7" t="str">
        <f>IF(Books_DB_F[[#This Row],[Rating F]]&gt;=4.7,"High",IF(Books_DB_F[[#This Row],[Rating F]]&gt;=4.4,"Medium","Low"))</f>
        <v>High</v>
      </c>
      <c r="Q53" s="7" t="str">
        <f>IF(Books_DB_F[[#This Row],[Price F($)]]&gt;48,"Premium",IF(Books_DB_F[[#This Row],[Price F($)]]&gt;25,"Mid","Budget"))</f>
        <v>Budget</v>
      </c>
    </row>
    <row r="54" spans="1:17" x14ac:dyDescent="0.25">
      <c r="A54" t="s">
        <v>369</v>
      </c>
      <c r="B54" t="s">
        <v>370</v>
      </c>
      <c r="C54" t="s">
        <v>9</v>
      </c>
      <c r="D54" s="7">
        <v>4.8</v>
      </c>
      <c r="E54">
        <v>6058</v>
      </c>
      <c r="F54" t="s">
        <v>10</v>
      </c>
      <c r="G54" s="9" t="s">
        <v>371</v>
      </c>
      <c r="H54" s="10">
        <v>14.06</v>
      </c>
      <c r="I54" t="s">
        <v>130</v>
      </c>
      <c r="J54">
        <v>208</v>
      </c>
      <c r="K54" s="6">
        <v>45496</v>
      </c>
      <c r="L54" t="s">
        <v>61</v>
      </c>
      <c r="N54">
        <v>38</v>
      </c>
      <c r="P54" s="7" t="str">
        <f>IF(Books_DB_F[[#This Row],[Rating F]]&gt;=4.7,"High",IF(Books_DB_F[[#This Row],[Rating F]]&gt;=4.4,"Medium","Low"))</f>
        <v>High</v>
      </c>
      <c r="Q54" s="7" t="str">
        <f>IF(Books_DB_F[[#This Row],[Price F($)]]&gt;48,"Premium",IF(Books_DB_F[[#This Row],[Price F($)]]&gt;25,"Mid","Budget"))</f>
        <v>Budget</v>
      </c>
    </row>
    <row r="55" spans="1:17" x14ac:dyDescent="0.25">
      <c r="A55" t="s">
        <v>341</v>
      </c>
      <c r="B55" t="s">
        <v>342</v>
      </c>
      <c r="C55" t="s">
        <v>32</v>
      </c>
      <c r="D55" s="7">
        <v>4.5999999999999996</v>
      </c>
      <c r="E55">
        <v>11570</v>
      </c>
      <c r="F55" t="s">
        <v>10</v>
      </c>
      <c r="G55" s="9" t="s">
        <v>343</v>
      </c>
      <c r="H55" s="10">
        <v>14.01</v>
      </c>
      <c r="I55" t="s">
        <v>12</v>
      </c>
      <c r="J55">
        <v>400</v>
      </c>
      <c r="K55" s="6">
        <v>45377</v>
      </c>
      <c r="L55" t="s">
        <v>337</v>
      </c>
      <c r="N55">
        <v>8</v>
      </c>
      <c r="O55">
        <v>19</v>
      </c>
      <c r="P55" s="7" t="str">
        <f>IF(Books_DB_F[[#This Row],[Rating F]]&gt;=4.7,"High",IF(Books_DB_F[[#This Row],[Rating F]]&gt;=4.4,"Medium","Low"))</f>
        <v>Medium</v>
      </c>
      <c r="Q55" s="7" t="str">
        <f>IF(Books_DB_F[[#This Row],[Price F($)]]&gt;48,"Premium",IF(Books_DB_F[[#This Row],[Price F($)]]&gt;25,"Mid","Budget"))</f>
        <v>Budget</v>
      </c>
    </row>
    <row r="56" spans="1:17" x14ac:dyDescent="0.25">
      <c r="A56" t="s">
        <v>480</v>
      </c>
      <c r="B56" t="s">
        <v>481</v>
      </c>
      <c r="C56" t="s">
        <v>28</v>
      </c>
      <c r="D56" s="7">
        <v>4.4000000000000004</v>
      </c>
      <c r="E56">
        <v>49468</v>
      </c>
      <c r="F56" t="s">
        <v>10</v>
      </c>
      <c r="G56" s="9" t="s">
        <v>482</v>
      </c>
      <c r="H56" s="10">
        <v>14</v>
      </c>
      <c r="I56" t="s">
        <v>12</v>
      </c>
      <c r="J56">
        <v>688</v>
      </c>
      <c r="K56" s="6">
        <v>45909</v>
      </c>
      <c r="L56" t="s">
        <v>54</v>
      </c>
      <c r="O56">
        <v>26</v>
      </c>
      <c r="P56" s="7" t="str">
        <f>IF(Books_DB_F[[#This Row],[Rating F]]&gt;=4.7,"High",IF(Books_DB_F[[#This Row],[Rating F]]&gt;=4.4,"Medium","Low"))</f>
        <v>Medium</v>
      </c>
      <c r="Q56" s="7" t="str">
        <f>IF(Books_DB_F[[#This Row],[Price F($)]]&gt;48,"Premium",IF(Books_DB_F[[#This Row],[Price F($)]]&gt;25,"Mid","Budget"))</f>
        <v>Budget</v>
      </c>
    </row>
    <row r="57" spans="1:17" x14ac:dyDescent="0.25">
      <c r="A57" t="s">
        <v>34</v>
      </c>
      <c r="B57" t="s">
        <v>35</v>
      </c>
      <c r="C57" t="s">
        <v>15</v>
      </c>
      <c r="D57" s="7">
        <v>4.7</v>
      </c>
      <c r="E57">
        <v>87375</v>
      </c>
      <c r="F57" t="s">
        <v>24</v>
      </c>
      <c r="G57" s="9" t="s">
        <v>36</v>
      </c>
      <c r="H57" s="10">
        <v>13.99</v>
      </c>
      <c r="I57" t="s">
        <v>12</v>
      </c>
      <c r="J57">
        <v>452</v>
      </c>
      <c r="K57" s="6">
        <v>36770</v>
      </c>
      <c r="L57" t="s">
        <v>37</v>
      </c>
      <c r="M57">
        <v>7</v>
      </c>
      <c r="N57">
        <v>11</v>
      </c>
      <c r="O57">
        <v>53</v>
      </c>
      <c r="P57" s="7" t="str">
        <f>IF(Books_DB_F[[#This Row],[Rating F]]&gt;=4.7,"High",IF(Books_DB_F[[#This Row],[Rating F]]&gt;=4.4,"Medium","Low"))</f>
        <v>High</v>
      </c>
      <c r="Q57" s="7" t="str">
        <f>IF(Books_DB_F[[#This Row],[Price F($)]]&gt;48,"Premium",IF(Books_DB_F[[#This Row],[Price F($)]]&gt;25,"Mid","Budget"))</f>
        <v>Budget</v>
      </c>
    </row>
    <row r="58" spans="1:17" x14ac:dyDescent="0.25">
      <c r="A58" t="s">
        <v>228</v>
      </c>
      <c r="B58" t="s">
        <v>229</v>
      </c>
      <c r="C58" t="s">
        <v>20</v>
      </c>
      <c r="D58" s="7">
        <v>4.5</v>
      </c>
      <c r="E58">
        <v>43046</v>
      </c>
      <c r="F58" t="s">
        <v>10</v>
      </c>
      <c r="G58" s="9" t="s">
        <v>230</v>
      </c>
      <c r="H58" s="10">
        <v>13.98</v>
      </c>
      <c r="I58" t="s">
        <v>12</v>
      </c>
      <c r="J58">
        <v>464</v>
      </c>
      <c r="K58" s="6">
        <v>45174</v>
      </c>
      <c r="L58" t="s">
        <v>54</v>
      </c>
      <c r="M58">
        <v>67</v>
      </c>
      <c r="P58" s="7" t="str">
        <f>IF(Books_DB_F[[#This Row],[Rating F]]&gt;=4.7,"High",IF(Books_DB_F[[#This Row],[Rating F]]&gt;=4.4,"Medium","Low"))</f>
        <v>Medium</v>
      </c>
      <c r="Q58" s="7" t="str">
        <f>IF(Books_DB_F[[#This Row],[Price F($)]]&gt;48,"Premium",IF(Books_DB_F[[#This Row],[Price F($)]]&gt;25,"Mid","Budget"))</f>
        <v>Budget</v>
      </c>
    </row>
    <row r="59" spans="1:17" x14ac:dyDescent="0.25">
      <c r="A59" t="s">
        <v>492</v>
      </c>
      <c r="B59" t="s">
        <v>493</v>
      </c>
      <c r="C59" t="s">
        <v>15</v>
      </c>
      <c r="D59" s="7">
        <v>4.7</v>
      </c>
      <c r="E59">
        <v>186767</v>
      </c>
      <c r="F59" t="s">
        <v>24</v>
      </c>
      <c r="G59" s="9" t="s">
        <v>230</v>
      </c>
      <c r="H59" s="10">
        <v>13.98</v>
      </c>
      <c r="I59" t="s">
        <v>12</v>
      </c>
      <c r="J59">
        <v>496</v>
      </c>
      <c r="K59" s="6">
        <v>44838</v>
      </c>
      <c r="L59" t="s">
        <v>54</v>
      </c>
      <c r="O59">
        <v>40</v>
      </c>
      <c r="P59" s="7" t="str">
        <f>IF(Books_DB_F[[#This Row],[Rating F]]&gt;=4.7,"High",IF(Books_DB_F[[#This Row],[Rating F]]&gt;=4.4,"Medium","Low"))</f>
        <v>High</v>
      </c>
      <c r="Q59" s="7" t="str">
        <f>IF(Books_DB_F[[#This Row],[Price F($)]]&gt;48,"Premium",IF(Books_DB_F[[#This Row],[Price F($)]]&gt;25,"Mid","Budget"))</f>
        <v>Budget</v>
      </c>
    </row>
    <row r="60" spans="1:17" x14ac:dyDescent="0.25">
      <c r="A60" t="s">
        <v>216</v>
      </c>
      <c r="B60" t="s">
        <v>217</v>
      </c>
      <c r="C60" t="s">
        <v>28</v>
      </c>
      <c r="D60" s="7">
        <v>4.4000000000000004</v>
      </c>
      <c r="E60">
        <v>109707</v>
      </c>
      <c r="F60" t="s">
        <v>10</v>
      </c>
      <c r="G60" s="9" t="s">
        <v>218</v>
      </c>
      <c r="H60" s="10">
        <v>13.97</v>
      </c>
      <c r="I60" t="s">
        <v>12</v>
      </c>
      <c r="J60">
        <v>400</v>
      </c>
      <c r="K60" s="6">
        <v>44999</v>
      </c>
      <c r="L60" t="s">
        <v>17</v>
      </c>
      <c r="M60">
        <v>63</v>
      </c>
      <c r="P60" s="7" t="str">
        <f>IF(Books_DB_F[[#This Row],[Rating F]]&gt;=4.7,"High",IF(Books_DB_F[[#This Row],[Rating F]]&gt;=4.4,"Medium","Low"))</f>
        <v>Medium</v>
      </c>
      <c r="Q60" s="7" t="str">
        <f>IF(Books_DB_F[[#This Row],[Price F($)]]&gt;48,"Premium",IF(Books_DB_F[[#This Row],[Price F($)]]&gt;25,"Mid","Budget"))</f>
        <v>Budget</v>
      </c>
    </row>
    <row r="61" spans="1:17" x14ac:dyDescent="0.25">
      <c r="A61" t="s">
        <v>30</v>
      </c>
      <c r="B61" t="s">
        <v>31</v>
      </c>
      <c r="C61" t="s">
        <v>32</v>
      </c>
      <c r="D61" s="7">
        <v>4.5999999999999996</v>
      </c>
      <c r="E61">
        <v>322650</v>
      </c>
      <c r="F61" t="s">
        <v>10</v>
      </c>
      <c r="G61" s="9" t="s">
        <v>33</v>
      </c>
      <c r="H61" s="10">
        <v>13.94</v>
      </c>
      <c r="I61" t="s">
        <v>12</v>
      </c>
      <c r="J61">
        <v>400</v>
      </c>
      <c r="K61" s="6">
        <v>44656</v>
      </c>
      <c r="L61" t="s">
        <v>17</v>
      </c>
      <c r="M61">
        <v>6</v>
      </c>
      <c r="P61" s="7" t="str">
        <f>IF(Books_DB_F[[#This Row],[Rating F]]&gt;=4.7,"High",IF(Books_DB_F[[#This Row],[Rating F]]&gt;=4.4,"Medium","Low"))</f>
        <v>Medium</v>
      </c>
      <c r="Q61" s="7" t="str">
        <f>IF(Books_DB_F[[#This Row],[Price F($)]]&gt;48,"Premium",IF(Books_DB_F[[#This Row],[Price F($)]]&gt;25,"Mid","Budget"))</f>
        <v>Budget</v>
      </c>
    </row>
    <row r="62" spans="1:17" x14ac:dyDescent="0.25">
      <c r="A62" t="s">
        <v>500</v>
      </c>
      <c r="B62" t="s">
        <v>263</v>
      </c>
      <c r="C62" t="s">
        <v>28</v>
      </c>
      <c r="D62" s="7">
        <v>4.4000000000000004</v>
      </c>
      <c r="E62">
        <v>46020</v>
      </c>
      <c r="F62" t="s">
        <v>10</v>
      </c>
      <c r="G62" s="9" t="s">
        <v>501</v>
      </c>
      <c r="H62" s="10">
        <v>13.87</v>
      </c>
      <c r="I62" t="s">
        <v>12</v>
      </c>
      <c r="J62">
        <v>416</v>
      </c>
      <c r="K62" s="6">
        <v>45951</v>
      </c>
      <c r="L62" t="s">
        <v>54</v>
      </c>
      <c r="O62">
        <v>48</v>
      </c>
      <c r="P62" s="7" t="str">
        <f>IF(Books_DB_F[[#This Row],[Rating F]]&gt;=4.7,"High",IF(Books_DB_F[[#This Row],[Rating F]]&gt;=4.4,"Medium","Low"))</f>
        <v>Medium</v>
      </c>
      <c r="Q62" s="7" t="str">
        <f>IF(Books_DB_F[[#This Row],[Price F($)]]&gt;48,"Premium",IF(Books_DB_F[[#This Row],[Price F($)]]&gt;25,"Mid","Budget"))</f>
        <v>Budget</v>
      </c>
    </row>
    <row r="63" spans="1:17" x14ac:dyDescent="0.25">
      <c r="A63" t="s">
        <v>425</v>
      </c>
      <c r="B63" t="s">
        <v>426</v>
      </c>
      <c r="C63" t="s">
        <v>32</v>
      </c>
      <c r="D63" s="7">
        <v>4.5999999999999996</v>
      </c>
      <c r="E63">
        <v>13716</v>
      </c>
      <c r="F63" t="s">
        <v>10</v>
      </c>
      <c r="G63" s="9" t="s">
        <v>427</v>
      </c>
      <c r="H63" s="10">
        <v>13.73</v>
      </c>
      <c r="I63" t="s">
        <v>12</v>
      </c>
      <c r="J63">
        <v>320</v>
      </c>
      <c r="K63" s="6">
        <v>45566</v>
      </c>
      <c r="L63" t="s">
        <v>22</v>
      </c>
      <c r="N63">
        <v>77</v>
      </c>
      <c r="P63" s="7" t="str">
        <f>IF(Books_DB_F[[#This Row],[Rating F]]&gt;=4.7,"High",IF(Books_DB_F[[#This Row],[Rating F]]&gt;=4.4,"Medium","Low"))</f>
        <v>Medium</v>
      </c>
      <c r="Q63" s="7" t="str">
        <f>IF(Books_DB_F[[#This Row],[Price F($)]]&gt;48,"Premium",IF(Books_DB_F[[#This Row],[Price F($)]]&gt;25,"Mid","Budget"))</f>
        <v>Budget</v>
      </c>
    </row>
    <row r="64" spans="1:17" x14ac:dyDescent="0.25">
      <c r="A64" t="s">
        <v>23</v>
      </c>
      <c r="B64" t="s">
        <v>14</v>
      </c>
      <c r="C64" t="s">
        <v>9</v>
      </c>
      <c r="D64" s="7">
        <v>4.8</v>
      </c>
      <c r="E64">
        <v>472618</v>
      </c>
      <c r="F64" t="s">
        <v>24</v>
      </c>
      <c r="G64" s="9" t="s">
        <v>25</v>
      </c>
      <c r="H64" s="10">
        <v>13.62</v>
      </c>
      <c r="I64" t="s">
        <v>12</v>
      </c>
      <c r="J64">
        <v>544</v>
      </c>
      <c r="K64" s="6">
        <v>45552</v>
      </c>
      <c r="L64" t="s">
        <v>17</v>
      </c>
      <c r="M64">
        <v>4</v>
      </c>
      <c r="N64">
        <v>16</v>
      </c>
      <c r="O64">
        <v>76</v>
      </c>
      <c r="P64" s="7" t="str">
        <f>IF(Books_DB_F[[#This Row],[Rating F]]&gt;=4.7,"High",IF(Books_DB_F[[#This Row],[Rating F]]&gt;=4.4,"Medium","Low"))</f>
        <v>High</v>
      </c>
      <c r="Q64" s="7" t="str">
        <f>IF(Books_DB_F[[#This Row],[Price F($)]]&gt;48,"Premium",IF(Books_DB_F[[#This Row],[Price F($)]]&gt;25,"Mid","Budget"))</f>
        <v>Budget</v>
      </c>
    </row>
    <row r="65" spans="1:17" x14ac:dyDescent="0.25">
      <c r="A65" t="s">
        <v>330</v>
      </c>
      <c r="B65" t="s">
        <v>331</v>
      </c>
      <c r="C65" t="s">
        <v>28</v>
      </c>
      <c r="D65" s="7">
        <v>4.4000000000000004</v>
      </c>
      <c r="E65">
        <v>124288</v>
      </c>
      <c r="F65" t="s">
        <v>24</v>
      </c>
      <c r="G65" s="9" t="s">
        <v>332</v>
      </c>
      <c r="H65" s="10">
        <v>13.51</v>
      </c>
      <c r="I65" t="s">
        <v>12</v>
      </c>
      <c r="J65">
        <v>288</v>
      </c>
      <c r="K65" s="6">
        <v>43221</v>
      </c>
      <c r="L65" t="s">
        <v>333</v>
      </c>
      <c r="N65">
        <v>4</v>
      </c>
      <c r="P65" s="7" t="str">
        <f>IF(Books_DB_F[[#This Row],[Rating F]]&gt;=4.7,"High",IF(Books_DB_F[[#This Row],[Rating F]]&gt;=4.4,"Medium","Low"))</f>
        <v>Medium</v>
      </c>
      <c r="Q65" s="7" t="str">
        <f>IF(Books_DB_F[[#This Row],[Price F($)]]&gt;48,"Premium",IF(Books_DB_F[[#This Row],[Price F($)]]&gt;25,"Mid","Budget"))</f>
        <v>Budget</v>
      </c>
    </row>
    <row r="66" spans="1:17" x14ac:dyDescent="0.25">
      <c r="A66" t="s">
        <v>269</v>
      </c>
      <c r="B66" t="s">
        <v>270</v>
      </c>
      <c r="C66" t="s">
        <v>15</v>
      </c>
      <c r="D66" s="7">
        <v>4.7</v>
      </c>
      <c r="E66">
        <v>396005</v>
      </c>
      <c r="F66" t="s">
        <v>24</v>
      </c>
      <c r="G66" s="9" t="s">
        <v>271</v>
      </c>
      <c r="H66" s="10">
        <v>13.48</v>
      </c>
      <c r="I66" t="s">
        <v>12</v>
      </c>
      <c r="J66">
        <v>608</v>
      </c>
      <c r="K66" s="6">
        <v>42850</v>
      </c>
      <c r="L66" t="s">
        <v>17</v>
      </c>
      <c r="M66">
        <v>80</v>
      </c>
      <c r="N66">
        <v>22</v>
      </c>
      <c r="O66">
        <v>14</v>
      </c>
      <c r="P66" s="7" t="str">
        <f>IF(Books_DB_F[[#This Row],[Rating F]]&gt;=4.7,"High",IF(Books_DB_F[[#This Row],[Rating F]]&gt;=4.4,"Medium","Low"))</f>
        <v>High</v>
      </c>
      <c r="Q66" s="7" t="str">
        <f>IF(Books_DB_F[[#This Row],[Price F($)]]&gt;48,"Premium",IF(Books_DB_F[[#This Row],[Price F($)]]&gt;25,"Mid","Budget"))</f>
        <v>Budget</v>
      </c>
    </row>
    <row r="67" spans="1:17" x14ac:dyDescent="0.25">
      <c r="A67" t="s">
        <v>467</v>
      </c>
      <c r="B67" t="s">
        <v>307</v>
      </c>
      <c r="C67" t="s">
        <v>15</v>
      </c>
      <c r="D67" s="7">
        <v>4.7</v>
      </c>
      <c r="E67">
        <v>85367</v>
      </c>
      <c r="F67" t="s">
        <v>10</v>
      </c>
      <c r="G67" s="9" t="s">
        <v>271</v>
      </c>
      <c r="H67" s="10">
        <v>13.48</v>
      </c>
      <c r="I67" t="s">
        <v>468</v>
      </c>
      <c r="J67">
        <v>400</v>
      </c>
      <c r="K67" s="6">
        <v>45734</v>
      </c>
      <c r="L67" t="s">
        <v>17</v>
      </c>
      <c r="O67">
        <v>2</v>
      </c>
      <c r="P67" s="7" t="str">
        <f>IF(Books_DB_F[[#This Row],[Rating F]]&gt;=4.7,"High",IF(Books_DB_F[[#This Row],[Rating F]]&gt;=4.4,"Medium","Low"))</f>
        <v>High</v>
      </c>
      <c r="Q67" s="7" t="str">
        <f>IF(Books_DB_F[[#This Row],[Price F($)]]&gt;48,"Premium",IF(Books_DB_F[[#This Row],[Price F($)]]&gt;25,"Mid","Budget"))</f>
        <v>Budget</v>
      </c>
    </row>
    <row r="68" spans="1:17" x14ac:dyDescent="0.25">
      <c r="A68" t="s">
        <v>219</v>
      </c>
      <c r="B68" t="s">
        <v>220</v>
      </c>
      <c r="C68" t="s">
        <v>9</v>
      </c>
      <c r="D68" s="7">
        <v>4.8</v>
      </c>
      <c r="E68">
        <v>5751</v>
      </c>
      <c r="F68" t="s">
        <v>10</v>
      </c>
      <c r="G68" s="9" t="s">
        <v>221</v>
      </c>
      <c r="H68" s="10">
        <v>13.47</v>
      </c>
      <c r="I68" t="s">
        <v>12</v>
      </c>
      <c r="J68">
        <v>400</v>
      </c>
      <c r="K68" s="6">
        <v>45188</v>
      </c>
      <c r="L68" t="s">
        <v>37</v>
      </c>
      <c r="M68">
        <v>64</v>
      </c>
      <c r="P68" s="7" t="str">
        <f>IF(Books_DB_F[[#This Row],[Rating F]]&gt;=4.7,"High",IF(Books_DB_F[[#This Row],[Rating F]]&gt;=4.4,"Medium","Low"))</f>
        <v>High</v>
      </c>
      <c r="Q68" s="7" t="str">
        <f>IF(Books_DB_F[[#This Row],[Price F($)]]&gt;48,"Premium",IF(Books_DB_F[[#This Row],[Price F($)]]&gt;25,"Mid","Budget"))</f>
        <v>Budget</v>
      </c>
    </row>
    <row r="69" spans="1:17" x14ac:dyDescent="0.25">
      <c r="A69" t="s">
        <v>284</v>
      </c>
      <c r="B69" t="s">
        <v>285</v>
      </c>
      <c r="C69" t="s">
        <v>20</v>
      </c>
      <c r="D69" s="7">
        <v>4.5</v>
      </c>
      <c r="E69">
        <v>158416</v>
      </c>
      <c r="F69" t="s">
        <v>10</v>
      </c>
      <c r="G69" s="9" t="s">
        <v>286</v>
      </c>
      <c r="H69" s="10">
        <v>13.43</v>
      </c>
      <c r="I69" t="s">
        <v>12</v>
      </c>
      <c r="J69">
        <v>224</v>
      </c>
      <c r="K69" s="6">
        <v>42626</v>
      </c>
      <c r="L69" t="s">
        <v>13</v>
      </c>
      <c r="M69">
        <v>85</v>
      </c>
      <c r="P69" s="7" t="str">
        <f>IF(Books_DB_F[[#This Row],[Rating F]]&gt;=4.7,"High",IF(Books_DB_F[[#This Row],[Rating F]]&gt;=4.4,"Medium","Low"))</f>
        <v>Medium</v>
      </c>
      <c r="Q69" s="7" t="str">
        <f>IF(Books_DB_F[[#This Row],[Price F($)]]&gt;48,"Premium",IF(Books_DB_F[[#This Row],[Price F($)]]&gt;25,"Mid","Budget"))</f>
        <v>Budget</v>
      </c>
    </row>
    <row r="70" spans="1:17" x14ac:dyDescent="0.25">
      <c r="A70" t="s">
        <v>145</v>
      </c>
      <c r="B70" t="s">
        <v>146</v>
      </c>
      <c r="C70" t="s">
        <v>28</v>
      </c>
      <c r="D70" s="7">
        <v>4.4000000000000004</v>
      </c>
      <c r="E70">
        <v>129310</v>
      </c>
      <c r="F70" t="s">
        <v>10</v>
      </c>
      <c r="G70" s="9" t="s">
        <v>147</v>
      </c>
      <c r="H70" s="10">
        <v>13.28</v>
      </c>
      <c r="I70" t="s">
        <v>12</v>
      </c>
      <c r="J70">
        <v>416</v>
      </c>
      <c r="K70" s="6">
        <v>44747</v>
      </c>
      <c r="L70" t="s">
        <v>17</v>
      </c>
      <c r="M70">
        <v>38</v>
      </c>
      <c r="P70" s="7" t="str">
        <f>IF(Books_DB_F[[#This Row],[Rating F]]&gt;=4.7,"High",IF(Books_DB_F[[#This Row],[Rating F]]&gt;=4.4,"Medium","Low"))</f>
        <v>Medium</v>
      </c>
      <c r="Q70" s="7" t="str">
        <f>IF(Books_DB_F[[#This Row],[Price F($)]]&gt;48,"Premium",IF(Books_DB_F[[#This Row],[Price F($)]]&gt;25,"Mid","Budget"))</f>
        <v>Budget</v>
      </c>
    </row>
    <row r="71" spans="1:17" x14ac:dyDescent="0.25">
      <c r="A71" t="s">
        <v>262</v>
      </c>
      <c r="B71" t="s">
        <v>263</v>
      </c>
      <c r="C71" t="s">
        <v>264</v>
      </c>
      <c r="D71" s="7">
        <v>4.0999999999999996</v>
      </c>
      <c r="E71">
        <v>72785</v>
      </c>
      <c r="F71" t="s">
        <v>10</v>
      </c>
      <c r="G71" s="9" t="s">
        <v>265</v>
      </c>
      <c r="H71" s="10">
        <v>12.97</v>
      </c>
      <c r="I71" t="s">
        <v>12</v>
      </c>
      <c r="J71">
        <v>352</v>
      </c>
      <c r="K71" s="6">
        <v>45216</v>
      </c>
      <c r="L71" t="s">
        <v>54</v>
      </c>
      <c r="M71">
        <v>78</v>
      </c>
      <c r="P71" s="7" t="str">
        <f>IF(Books_DB_F[[#This Row],[Rating F]]&gt;=4.7,"High",IF(Books_DB_F[[#This Row],[Rating F]]&gt;=4.4,"Medium","Low"))</f>
        <v>Low</v>
      </c>
      <c r="Q71" s="7" t="str">
        <f>IF(Books_DB_F[[#This Row],[Price F($)]]&gt;48,"Premium",IF(Books_DB_F[[#This Row],[Price F($)]]&gt;25,"Mid","Budget"))</f>
        <v>Budget</v>
      </c>
    </row>
    <row r="72" spans="1:17" x14ac:dyDescent="0.25">
      <c r="A72" t="s">
        <v>553</v>
      </c>
      <c r="B72" t="s">
        <v>554</v>
      </c>
      <c r="C72" t="s">
        <v>32</v>
      </c>
      <c r="D72" s="7">
        <v>4.5999999999999996</v>
      </c>
      <c r="E72">
        <v>50581</v>
      </c>
      <c r="F72" t="s">
        <v>10</v>
      </c>
      <c r="G72" s="9" t="s">
        <v>265</v>
      </c>
      <c r="H72" s="10">
        <v>12.97</v>
      </c>
      <c r="I72" t="s">
        <v>12</v>
      </c>
      <c r="J72">
        <v>448</v>
      </c>
      <c r="K72" s="6">
        <v>45783</v>
      </c>
      <c r="L72" t="s">
        <v>17</v>
      </c>
      <c r="O72">
        <v>86</v>
      </c>
      <c r="P72" s="7" t="str">
        <f>IF(Books_DB_F[[#This Row],[Rating F]]&gt;=4.7,"High",IF(Books_DB_F[[#This Row],[Rating F]]&gt;=4.4,"Medium","Low"))</f>
        <v>Medium</v>
      </c>
      <c r="Q72" s="7" t="str">
        <f>IF(Books_DB_F[[#This Row],[Price F($)]]&gt;48,"Premium",IF(Books_DB_F[[#This Row],[Price F($)]]&gt;25,"Mid","Budget"))</f>
        <v>Budget</v>
      </c>
    </row>
    <row r="73" spans="1:17" x14ac:dyDescent="0.25">
      <c r="A73" t="s">
        <v>538</v>
      </c>
      <c r="B73" t="s">
        <v>539</v>
      </c>
      <c r="C73" t="s">
        <v>15</v>
      </c>
      <c r="D73" s="7">
        <v>4.7</v>
      </c>
      <c r="E73">
        <v>96578</v>
      </c>
      <c r="F73" t="s">
        <v>24</v>
      </c>
      <c r="G73" s="9" t="s">
        <v>540</v>
      </c>
      <c r="H73" s="10">
        <v>12.86</v>
      </c>
      <c r="I73" t="s">
        <v>12</v>
      </c>
      <c r="J73">
        <v>184</v>
      </c>
      <c r="K73" s="6">
        <v>38869</v>
      </c>
      <c r="L73" t="s">
        <v>333</v>
      </c>
      <c r="O73">
        <v>75</v>
      </c>
      <c r="P73" s="7" t="str">
        <f>IF(Books_DB_F[[#This Row],[Rating F]]&gt;=4.7,"High",IF(Books_DB_F[[#This Row],[Rating F]]&gt;=4.4,"Medium","Low"))</f>
        <v>High</v>
      </c>
      <c r="Q73" s="7" t="str">
        <f>IF(Books_DB_F[[#This Row],[Price F($)]]&gt;48,"Premium",IF(Books_DB_F[[#This Row],[Price F($)]]&gt;25,"Mid","Budget"))</f>
        <v>Budget</v>
      </c>
    </row>
    <row r="74" spans="1:17" x14ac:dyDescent="0.25">
      <c r="A74" t="s">
        <v>416</v>
      </c>
      <c r="B74" t="s">
        <v>417</v>
      </c>
      <c r="C74" t="s">
        <v>9</v>
      </c>
      <c r="D74" s="7">
        <v>4.8</v>
      </c>
      <c r="E74">
        <v>5959</v>
      </c>
      <c r="F74" t="s">
        <v>24</v>
      </c>
      <c r="G74" s="9" t="s">
        <v>418</v>
      </c>
      <c r="H74" s="10">
        <v>12.84</v>
      </c>
      <c r="I74" t="s">
        <v>12</v>
      </c>
      <c r="J74">
        <v>386</v>
      </c>
      <c r="K74" s="6">
        <v>45090</v>
      </c>
      <c r="L74" t="s">
        <v>90</v>
      </c>
      <c r="N74">
        <v>71</v>
      </c>
      <c r="O74">
        <v>38</v>
      </c>
      <c r="P74" s="7" t="str">
        <f>IF(Books_DB_F[[#This Row],[Rating F]]&gt;=4.7,"High",IF(Books_DB_F[[#This Row],[Rating F]]&gt;=4.4,"Medium","Low"))</f>
        <v>High</v>
      </c>
      <c r="Q74" s="7" t="str">
        <f>IF(Books_DB_F[[#This Row],[Price F($)]]&gt;48,"Premium",IF(Books_DB_F[[#This Row],[Price F($)]]&gt;25,"Mid","Budget"))</f>
        <v>Budget</v>
      </c>
    </row>
    <row r="75" spans="1:17" x14ac:dyDescent="0.25">
      <c r="A75" t="s">
        <v>282</v>
      </c>
      <c r="B75" t="s">
        <v>85</v>
      </c>
      <c r="C75" t="s">
        <v>15</v>
      </c>
      <c r="D75" s="7">
        <v>4.7</v>
      </c>
      <c r="E75">
        <v>269981</v>
      </c>
      <c r="F75" t="s">
        <v>24</v>
      </c>
      <c r="G75" s="9" t="s">
        <v>283</v>
      </c>
      <c r="H75" s="10">
        <v>12.81</v>
      </c>
      <c r="I75" t="s">
        <v>12</v>
      </c>
      <c r="J75">
        <v>736</v>
      </c>
      <c r="K75" s="6">
        <v>43984</v>
      </c>
      <c r="L75" t="s">
        <v>17</v>
      </c>
      <c r="M75">
        <v>84</v>
      </c>
      <c r="N75">
        <v>44</v>
      </c>
      <c r="P75" s="7" t="str">
        <f>IF(Books_DB_F[[#This Row],[Rating F]]&gt;=4.7,"High",IF(Books_DB_F[[#This Row],[Rating F]]&gt;=4.4,"Medium","Low"))</f>
        <v>High</v>
      </c>
      <c r="Q75" s="7" t="str">
        <f>IF(Books_DB_F[[#This Row],[Price F($)]]&gt;48,"Premium",IF(Books_DB_F[[#This Row],[Price F($)]]&gt;25,"Mid","Budget"))</f>
        <v>Budget</v>
      </c>
    </row>
    <row r="76" spans="1:17" x14ac:dyDescent="0.25">
      <c r="A76" t="s">
        <v>290</v>
      </c>
      <c r="B76" t="s">
        <v>291</v>
      </c>
      <c r="C76" t="s">
        <v>15</v>
      </c>
      <c r="D76" s="7">
        <v>4.7</v>
      </c>
      <c r="E76">
        <v>7992</v>
      </c>
      <c r="F76" t="s">
        <v>10</v>
      </c>
      <c r="G76" s="9" t="s">
        <v>283</v>
      </c>
      <c r="H76" s="10">
        <v>12.81</v>
      </c>
      <c r="I76" t="s">
        <v>12</v>
      </c>
      <c r="J76">
        <v>352</v>
      </c>
      <c r="K76" s="6">
        <v>44922</v>
      </c>
      <c r="L76" t="s">
        <v>42</v>
      </c>
      <c r="M76">
        <v>87</v>
      </c>
      <c r="P76" s="7" t="str">
        <f>IF(Books_DB_F[[#This Row],[Rating F]]&gt;=4.7,"High",IF(Books_DB_F[[#This Row],[Rating F]]&gt;=4.4,"Medium","Low"))</f>
        <v>High</v>
      </c>
      <c r="Q76" s="7" t="str">
        <f>IF(Books_DB_F[[#This Row],[Price F($)]]&gt;48,"Premium",IF(Books_DB_F[[#This Row],[Price F($)]]&gt;25,"Mid","Budget"))</f>
        <v>Budget</v>
      </c>
    </row>
    <row r="77" spans="1:17" x14ac:dyDescent="0.25">
      <c r="A77" t="s">
        <v>84</v>
      </c>
      <c r="B77" t="s">
        <v>85</v>
      </c>
      <c r="C77" t="s">
        <v>32</v>
      </c>
      <c r="D77" s="7">
        <v>4.5999999999999996</v>
      </c>
      <c r="E77">
        <v>314472</v>
      </c>
      <c r="F77" t="s">
        <v>24</v>
      </c>
      <c r="G77" s="9" t="s">
        <v>86</v>
      </c>
      <c r="H77" s="10">
        <v>12.8</v>
      </c>
      <c r="I77" t="s">
        <v>12</v>
      </c>
      <c r="J77">
        <v>448</v>
      </c>
      <c r="K77" s="6">
        <v>43984</v>
      </c>
      <c r="L77" t="s">
        <v>17</v>
      </c>
      <c r="M77">
        <v>21</v>
      </c>
      <c r="N77">
        <v>12</v>
      </c>
      <c r="P77" s="7" t="str">
        <f>IF(Books_DB_F[[#This Row],[Rating F]]&gt;=4.7,"High",IF(Books_DB_F[[#This Row],[Rating F]]&gt;=4.4,"Medium","Low"))</f>
        <v>Medium</v>
      </c>
      <c r="Q77" s="7" t="str">
        <f>IF(Books_DB_F[[#This Row],[Price F($)]]&gt;48,"Premium",IF(Books_DB_F[[#This Row],[Price F($)]]&gt;25,"Mid","Budget"))</f>
        <v>Budget</v>
      </c>
    </row>
    <row r="78" spans="1:17" x14ac:dyDescent="0.25">
      <c r="A78" t="s">
        <v>324</v>
      </c>
      <c r="B78" t="s">
        <v>85</v>
      </c>
      <c r="C78" t="s">
        <v>140</v>
      </c>
      <c r="D78" s="7">
        <v>4.2</v>
      </c>
      <c r="E78">
        <v>181184</v>
      </c>
      <c r="F78" t="s">
        <v>24</v>
      </c>
      <c r="G78" s="9" t="s">
        <v>325</v>
      </c>
      <c r="H78" s="10">
        <v>12.74</v>
      </c>
      <c r="I78" t="s">
        <v>12</v>
      </c>
      <c r="J78">
        <v>272</v>
      </c>
      <c r="K78" s="6">
        <v>43984</v>
      </c>
      <c r="L78" t="s">
        <v>17</v>
      </c>
      <c r="M78">
        <v>100</v>
      </c>
      <c r="N78">
        <v>57</v>
      </c>
      <c r="P78" s="7" t="str">
        <f>IF(Books_DB_F[[#This Row],[Rating F]]&gt;=4.7,"High",IF(Books_DB_F[[#This Row],[Rating F]]&gt;=4.4,"Medium","Low"))</f>
        <v>Low</v>
      </c>
      <c r="Q78" s="7" t="str">
        <f>IF(Books_DB_F[[#This Row],[Price F($)]]&gt;48,"Premium",IF(Books_DB_F[[#This Row],[Price F($)]]&gt;25,"Mid","Budget"))</f>
        <v>Budget</v>
      </c>
    </row>
    <row r="79" spans="1:17" x14ac:dyDescent="0.25">
      <c r="A79" t="s">
        <v>358</v>
      </c>
      <c r="B79" t="s">
        <v>590</v>
      </c>
      <c r="C79" t="s">
        <v>140</v>
      </c>
      <c r="D79" s="7">
        <v>4.2</v>
      </c>
      <c r="E79">
        <v>270851</v>
      </c>
      <c r="F79" t="s">
        <v>24</v>
      </c>
      <c r="G79" s="9" t="s">
        <v>359</v>
      </c>
      <c r="H79" s="10">
        <v>12.58</v>
      </c>
      <c r="I79" t="s">
        <v>12</v>
      </c>
      <c r="J79">
        <v>400</v>
      </c>
      <c r="K79" s="6">
        <v>45454</v>
      </c>
      <c r="L79" t="s">
        <v>17</v>
      </c>
      <c r="N79">
        <v>23</v>
      </c>
      <c r="O79">
        <v>59</v>
      </c>
      <c r="P79" s="7" t="str">
        <f>IF(Books_DB_F[[#This Row],[Rating F]]&gt;=4.7,"High",IF(Books_DB_F[[#This Row],[Rating F]]&gt;=4.4,"Medium","Low"))</f>
        <v>Low</v>
      </c>
      <c r="Q79" s="7" t="str">
        <f>IF(Books_DB_F[[#This Row],[Price F($)]]&gt;48,"Premium",IF(Books_DB_F[[#This Row],[Price F($)]]&gt;25,"Mid","Budget"))</f>
        <v>Budget</v>
      </c>
    </row>
    <row r="80" spans="1:17" x14ac:dyDescent="0.25">
      <c r="A80" t="s">
        <v>366</v>
      </c>
      <c r="B80" t="s">
        <v>367</v>
      </c>
      <c r="C80" t="s">
        <v>32</v>
      </c>
      <c r="D80" s="7">
        <v>4.5999999999999996</v>
      </c>
      <c r="E80">
        <v>22994</v>
      </c>
      <c r="F80" t="s">
        <v>10</v>
      </c>
      <c r="G80" s="9" t="s">
        <v>368</v>
      </c>
      <c r="H80" s="10">
        <v>12.54</v>
      </c>
      <c r="I80" t="s">
        <v>12</v>
      </c>
      <c r="J80">
        <v>192</v>
      </c>
      <c r="K80" s="6">
        <v>45594</v>
      </c>
      <c r="L80" t="s">
        <v>13</v>
      </c>
      <c r="N80">
        <v>35</v>
      </c>
      <c r="O80">
        <v>28</v>
      </c>
      <c r="P80" s="7" t="str">
        <f>IF(Books_DB_F[[#This Row],[Rating F]]&gt;=4.7,"High",IF(Books_DB_F[[#This Row],[Rating F]]&gt;=4.4,"Medium","Low"))</f>
        <v>Medium</v>
      </c>
      <c r="Q80" s="7" t="str">
        <f>IF(Books_DB_F[[#This Row],[Price F($)]]&gt;48,"Premium",IF(Books_DB_F[[#This Row],[Price F($)]]&gt;25,"Mid","Budget"))</f>
        <v>Budget</v>
      </c>
    </row>
    <row r="81" spans="1:17" x14ac:dyDescent="0.25">
      <c r="A81" t="s">
        <v>207</v>
      </c>
      <c r="B81" t="s">
        <v>208</v>
      </c>
      <c r="C81" t="s">
        <v>140</v>
      </c>
      <c r="D81" s="7">
        <v>4.2</v>
      </c>
      <c r="E81">
        <v>107168</v>
      </c>
      <c r="F81" t="s">
        <v>10</v>
      </c>
      <c r="G81" s="9" t="s">
        <v>209</v>
      </c>
      <c r="H81" s="10">
        <v>12.29</v>
      </c>
      <c r="I81" t="s">
        <v>12</v>
      </c>
      <c r="J81">
        <v>400</v>
      </c>
      <c r="K81" s="6">
        <v>45041</v>
      </c>
      <c r="L81" t="s">
        <v>17</v>
      </c>
      <c r="M81">
        <v>60</v>
      </c>
      <c r="P81" s="7" t="str">
        <f>IF(Books_DB_F[[#This Row],[Rating F]]&gt;=4.7,"High",IF(Books_DB_F[[#This Row],[Rating F]]&gt;=4.4,"Medium","Low"))</f>
        <v>Low</v>
      </c>
      <c r="Q81" s="7" t="str">
        <f>IF(Books_DB_F[[#This Row],[Price F($)]]&gt;48,"Premium",IF(Books_DB_F[[#This Row],[Price F($)]]&gt;25,"Mid","Budget"))</f>
        <v>Budget</v>
      </c>
    </row>
    <row r="82" spans="1:17" x14ac:dyDescent="0.25">
      <c r="A82" t="s">
        <v>184</v>
      </c>
      <c r="B82" t="s">
        <v>85</v>
      </c>
      <c r="C82" t="s">
        <v>9</v>
      </c>
      <c r="D82" s="7">
        <v>4.8</v>
      </c>
      <c r="E82">
        <v>287325</v>
      </c>
      <c r="F82" t="s">
        <v>24</v>
      </c>
      <c r="G82" s="9" t="s">
        <v>185</v>
      </c>
      <c r="H82" s="10">
        <v>12.16</v>
      </c>
      <c r="I82" t="s">
        <v>12</v>
      </c>
      <c r="J82">
        <v>656</v>
      </c>
      <c r="K82" s="6">
        <v>43984</v>
      </c>
      <c r="L82" t="s">
        <v>17</v>
      </c>
      <c r="M82">
        <v>52</v>
      </c>
      <c r="N82">
        <v>32</v>
      </c>
      <c r="P82" s="7" t="str">
        <f>IF(Books_DB_F[[#This Row],[Rating F]]&gt;=4.7,"High",IF(Books_DB_F[[#This Row],[Rating F]]&gt;=4.4,"Medium","Low"))</f>
        <v>High</v>
      </c>
      <c r="Q82" s="7" t="str">
        <f>IF(Books_DB_F[[#This Row],[Price F($)]]&gt;48,"Premium",IF(Books_DB_F[[#This Row],[Price F($)]]&gt;25,"Mid","Budget"))</f>
        <v>Budget</v>
      </c>
    </row>
    <row r="83" spans="1:17" x14ac:dyDescent="0.25">
      <c r="A83" t="s">
        <v>65</v>
      </c>
      <c r="B83" t="s">
        <v>44</v>
      </c>
      <c r="C83" t="s">
        <v>32</v>
      </c>
      <c r="D83" s="7">
        <v>4.5999999999999996</v>
      </c>
      <c r="E83">
        <v>443390</v>
      </c>
      <c r="F83" t="s">
        <v>24</v>
      </c>
      <c r="G83" s="9" t="s">
        <v>66</v>
      </c>
      <c r="H83" s="10">
        <v>12.09</v>
      </c>
      <c r="I83" t="s">
        <v>12</v>
      </c>
      <c r="J83">
        <v>336</v>
      </c>
      <c r="K83" s="6">
        <v>44495</v>
      </c>
      <c r="L83" t="s">
        <v>17</v>
      </c>
      <c r="M83">
        <v>15</v>
      </c>
      <c r="N83">
        <v>40</v>
      </c>
      <c r="O83">
        <v>82</v>
      </c>
      <c r="P83" s="7" t="str">
        <f>IF(Books_DB_F[[#This Row],[Rating F]]&gt;=4.7,"High",IF(Books_DB_F[[#This Row],[Rating F]]&gt;=4.4,"Medium","Low"))</f>
        <v>Medium</v>
      </c>
      <c r="Q83" s="7" t="str">
        <f>IF(Books_DB_F[[#This Row],[Price F($)]]&gt;48,"Premium",IF(Books_DB_F[[#This Row],[Price F($)]]&gt;25,"Mid","Budget"))</f>
        <v>Budget</v>
      </c>
    </row>
    <row r="84" spans="1:17" x14ac:dyDescent="0.25">
      <c r="A84" t="s">
        <v>314</v>
      </c>
      <c r="B84" t="s">
        <v>315</v>
      </c>
      <c r="C84" t="s">
        <v>9</v>
      </c>
      <c r="D84" s="7">
        <v>4.8</v>
      </c>
      <c r="E84">
        <v>40073</v>
      </c>
      <c r="F84" t="s">
        <v>10</v>
      </c>
      <c r="G84" s="9" t="s">
        <v>316</v>
      </c>
      <c r="H84" s="10">
        <v>12</v>
      </c>
      <c r="I84" t="s">
        <v>130</v>
      </c>
      <c r="J84">
        <v>192</v>
      </c>
      <c r="K84" s="6">
        <v>43396</v>
      </c>
      <c r="L84" t="s">
        <v>116</v>
      </c>
      <c r="M84">
        <v>96</v>
      </c>
      <c r="N84">
        <v>75</v>
      </c>
      <c r="O84">
        <v>65</v>
      </c>
      <c r="P84" s="7" t="str">
        <f>IF(Books_DB_F[[#This Row],[Rating F]]&gt;=4.7,"High",IF(Books_DB_F[[#This Row],[Rating F]]&gt;=4.4,"Medium","Low"))</f>
        <v>High</v>
      </c>
      <c r="Q84" s="7" t="str">
        <f>IF(Books_DB_F[[#This Row],[Price F($)]]&gt;48,"Premium",IF(Books_DB_F[[#This Row],[Price F($)]]&gt;25,"Mid","Budget"))</f>
        <v>Budget</v>
      </c>
    </row>
    <row r="85" spans="1:17" x14ac:dyDescent="0.25">
      <c r="A85" t="s">
        <v>18</v>
      </c>
      <c r="B85" t="s">
        <v>587</v>
      </c>
      <c r="C85" t="s">
        <v>20</v>
      </c>
      <c r="D85" s="7">
        <v>4.5</v>
      </c>
      <c r="E85">
        <v>116101</v>
      </c>
      <c r="F85" t="s">
        <v>10</v>
      </c>
      <c r="G85" s="9" t="s">
        <v>21</v>
      </c>
      <c r="H85" s="10">
        <v>11.99</v>
      </c>
      <c r="I85" t="s">
        <v>12</v>
      </c>
      <c r="J85">
        <v>416</v>
      </c>
      <c r="K85" s="6">
        <v>44936</v>
      </c>
      <c r="L85" t="s">
        <v>22</v>
      </c>
      <c r="M85">
        <v>3</v>
      </c>
      <c r="P85" s="7" t="str">
        <f>IF(Books_DB_F[[#This Row],[Rating F]]&gt;=4.7,"High",IF(Books_DB_F[[#This Row],[Rating F]]&gt;=4.4,"Medium","Low"))</f>
        <v>Medium</v>
      </c>
      <c r="Q85" s="7" t="str">
        <f>IF(Books_DB_F[[#This Row],[Price F($)]]&gt;48,"Premium",IF(Books_DB_F[[#This Row],[Price F($)]]&gt;25,"Mid","Budget"))</f>
        <v>Budget</v>
      </c>
    </row>
    <row r="86" spans="1:17" x14ac:dyDescent="0.25">
      <c r="A86" t="s">
        <v>148</v>
      </c>
      <c r="B86" t="s">
        <v>591</v>
      </c>
      <c r="C86" t="s">
        <v>9</v>
      </c>
      <c r="D86" s="7">
        <v>4.8</v>
      </c>
      <c r="E86">
        <v>26464</v>
      </c>
      <c r="F86" t="s">
        <v>10</v>
      </c>
      <c r="G86" s="9" t="s">
        <v>21</v>
      </c>
      <c r="H86" s="10">
        <v>11.99</v>
      </c>
      <c r="I86" t="s">
        <v>130</v>
      </c>
      <c r="J86">
        <v>24</v>
      </c>
      <c r="K86" s="6">
        <v>41305</v>
      </c>
      <c r="L86" t="s">
        <v>61</v>
      </c>
      <c r="M86">
        <v>39</v>
      </c>
      <c r="N86">
        <v>31</v>
      </c>
      <c r="P86" s="7" t="str">
        <f>IF(Books_DB_F[[#This Row],[Rating F]]&gt;=4.7,"High",IF(Books_DB_F[[#This Row],[Rating F]]&gt;=4.4,"Medium","Low"))</f>
        <v>High</v>
      </c>
      <c r="Q86" s="7" t="str">
        <f>IF(Books_DB_F[[#This Row],[Price F($)]]&gt;48,"Premium",IF(Books_DB_F[[#This Row],[Price F($)]]&gt;25,"Mid","Budget"))</f>
        <v>Budget</v>
      </c>
    </row>
    <row r="87" spans="1:17" x14ac:dyDescent="0.25">
      <c r="A87" t="s">
        <v>472</v>
      </c>
      <c r="B87" t="s">
        <v>591</v>
      </c>
      <c r="C87" t="s">
        <v>9</v>
      </c>
      <c r="D87" s="7">
        <v>4.8</v>
      </c>
      <c r="E87">
        <v>26451</v>
      </c>
      <c r="F87" t="s">
        <v>10</v>
      </c>
      <c r="G87" s="9" t="s">
        <v>21</v>
      </c>
      <c r="H87" s="10">
        <v>11.99</v>
      </c>
      <c r="I87" t="s">
        <v>130</v>
      </c>
      <c r="J87">
        <v>24</v>
      </c>
      <c r="K87" s="6">
        <v>41305</v>
      </c>
      <c r="L87" t="s">
        <v>61</v>
      </c>
      <c r="O87">
        <v>7</v>
      </c>
      <c r="P87" s="7" t="str">
        <f>IF(Books_DB_F[[#This Row],[Rating F]]&gt;=4.7,"High",IF(Books_DB_F[[#This Row],[Rating F]]&gt;=4.4,"Medium","Low"))</f>
        <v>High</v>
      </c>
      <c r="Q87" s="7" t="str">
        <f>IF(Books_DB_F[[#This Row],[Price F($)]]&gt;48,"Premium",IF(Books_DB_F[[#This Row],[Price F($)]]&gt;25,"Mid","Budget"))</f>
        <v>Budget</v>
      </c>
    </row>
    <row r="88" spans="1:17" x14ac:dyDescent="0.25">
      <c r="A88" t="s">
        <v>476</v>
      </c>
      <c r="B88" t="s">
        <v>477</v>
      </c>
      <c r="C88" t="s">
        <v>32</v>
      </c>
      <c r="D88" s="7">
        <v>4.5999999999999996</v>
      </c>
      <c r="E88">
        <v>101295</v>
      </c>
      <c r="F88" t="s">
        <v>24</v>
      </c>
      <c r="G88" s="9" t="s">
        <v>21</v>
      </c>
      <c r="H88" s="10">
        <v>11.99</v>
      </c>
      <c r="I88" t="s">
        <v>12</v>
      </c>
      <c r="J88">
        <v>448</v>
      </c>
      <c r="K88" s="6">
        <v>45601</v>
      </c>
      <c r="L88" t="s">
        <v>17</v>
      </c>
      <c r="O88">
        <v>12</v>
      </c>
      <c r="P88" s="7" t="str">
        <f>IF(Books_DB_F[[#This Row],[Rating F]]&gt;=4.7,"High",IF(Books_DB_F[[#This Row],[Rating F]]&gt;=4.4,"Medium","Low"))</f>
        <v>Medium</v>
      </c>
      <c r="Q88" s="7" t="str">
        <f>IF(Books_DB_F[[#This Row],[Price F($)]]&gt;48,"Premium",IF(Books_DB_F[[#This Row],[Price F($)]]&gt;25,"Mid","Budget"))</f>
        <v>Budget</v>
      </c>
    </row>
    <row r="89" spans="1:17" x14ac:dyDescent="0.25">
      <c r="A89" t="s">
        <v>490</v>
      </c>
      <c r="B89" t="s">
        <v>491</v>
      </c>
      <c r="C89" t="s">
        <v>15</v>
      </c>
      <c r="D89" s="7">
        <v>4.7</v>
      </c>
      <c r="E89">
        <v>3004</v>
      </c>
      <c r="F89" t="s">
        <v>24</v>
      </c>
      <c r="G89" s="9" t="s">
        <v>21</v>
      </c>
      <c r="H89" s="10">
        <v>11.99</v>
      </c>
      <c r="I89" t="s">
        <v>102</v>
      </c>
      <c r="J89">
        <v>144</v>
      </c>
      <c r="K89" s="6">
        <v>44461</v>
      </c>
      <c r="L89" t="s">
        <v>77</v>
      </c>
      <c r="O89">
        <v>34</v>
      </c>
      <c r="P89" s="7" t="str">
        <f>IF(Books_DB_F[[#This Row],[Rating F]]&gt;=4.7,"High",IF(Books_DB_F[[#This Row],[Rating F]]&gt;=4.4,"Medium","Low"))</f>
        <v>High</v>
      </c>
      <c r="Q89" s="7" t="str">
        <f>IF(Books_DB_F[[#This Row],[Price F($)]]&gt;48,"Premium",IF(Books_DB_F[[#This Row],[Price F($)]]&gt;25,"Mid","Budget"))</f>
        <v>Budget</v>
      </c>
    </row>
    <row r="90" spans="1:17" x14ac:dyDescent="0.25">
      <c r="A90" t="s">
        <v>334</v>
      </c>
      <c r="B90" t="s">
        <v>335</v>
      </c>
      <c r="C90" t="s">
        <v>15</v>
      </c>
      <c r="D90" s="7">
        <v>4.7</v>
      </c>
      <c r="E90">
        <v>20096</v>
      </c>
      <c r="F90" t="s">
        <v>24</v>
      </c>
      <c r="G90" s="9" t="s">
        <v>336</v>
      </c>
      <c r="H90" s="10">
        <v>11.95</v>
      </c>
      <c r="I90" t="s">
        <v>12</v>
      </c>
      <c r="J90">
        <v>108</v>
      </c>
      <c r="K90" s="6">
        <v>43665</v>
      </c>
      <c r="L90" t="s">
        <v>337</v>
      </c>
      <c r="N90">
        <v>6</v>
      </c>
      <c r="O90">
        <v>36</v>
      </c>
      <c r="P90" s="7" t="str">
        <f>IF(Books_DB_F[[#This Row],[Rating F]]&gt;=4.7,"High",IF(Books_DB_F[[#This Row],[Rating F]]&gt;=4.4,"Medium","Low"))</f>
        <v>High</v>
      </c>
      <c r="Q90" s="7" t="str">
        <f>IF(Books_DB_F[[#This Row],[Price F($)]]&gt;48,"Premium",IF(Books_DB_F[[#This Row],[Price F($)]]&gt;25,"Mid","Budget"))</f>
        <v>Budget</v>
      </c>
    </row>
    <row r="91" spans="1:17" x14ac:dyDescent="0.25">
      <c r="A91" t="s">
        <v>26</v>
      </c>
      <c r="B91" t="s">
        <v>27</v>
      </c>
      <c r="C91" t="s">
        <v>28</v>
      </c>
      <c r="D91" s="7">
        <v>4.4000000000000004</v>
      </c>
      <c r="E91">
        <v>51520</v>
      </c>
      <c r="F91" t="s">
        <v>10</v>
      </c>
      <c r="G91" s="9" t="s">
        <v>29</v>
      </c>
      <c r="H91" s="10">
        <v>11.37</v>
      </c>
      <c r="I91" t="s">
        <v>12</v>
      </c>
      <c r="J91">
        <v>288</v>
      </c>
      <c r="K91" s="6">
        <v>45223</v>
      </c>
      <c r="L91" t="s">
        <v>22</v>
      </c>
      <c r="M91">
        <v>5</v>
      </c>
      <c r="P91" s="7" t="str">
        <f>IF(Books_DB_F[[#This Row],[Rating F]]&gt;=4.7,"High",IF(Books_DB_F[[#This Row],[Rating F]]&gt;=4.4,"Medium","Low"))</f>
        <v>Medium</v>
      </c>
      <c r="Q91" s="7" t="str">
        <f>IF(Books_DB_F[[#This Row],[Price F($)]]&gt;48,"Premium",IF(Books_DB_F[[#This Row],[Price F($)]]&gt;25,"Mid","Budget"))</f>
        <v>Budget</v>
      </c>
    </row>
    <row r="92" spans="1:17" x14ac:dyDescent="0.25">
      <c r="A92" t="s">
        <v>578</v>
      </c>
      <c r="B92" t="s">
        <v>14</v>
      </c>
      <c r="C92" t="s">
        <v>15</v>
      </c>
      <c r="D92" s="7">
        <v>4.7</v>
      </c>
      <c r="E92">
        <v>395512</v>
      </c>
      <c r="F92" t="s">
        <v>10</v>
      </c>
      <c r="G92" s="9" t="s">
        <v>16</v>
      </c>
      <c r="H92" s="10">
        <v>11.05</v>
      </c>
      <c r="I92" t="s">
        <v>12</v>
      </c>
      <c r="J92">
        <v>640</v>
      </c>
      <c r="K92" s="6">
        <v>45237</v>
      </c>
      <c r="L92" t="s">
        <v>17</v>
      </c>
      <c r="M92">
        <v>2</v>
      </c>
      <c r="N92">
        <v>13</v>
      </c>
      <c r="P92" s="7" t="str">
        <f>IF(Books_DB_F[[#This Row],[Rating F]]&gt;=4.7,"High",IF(Books_DB_F[[#This Row],[Rating F]]&gt;=4.4,"Medium","Low"))</f>
        <v>High</v>
      </c>
      <c r="Q92" s="7" t="str">
        <f>IF(Books_DB_F[[#This Row],[Price F($)]]&gt;48,"Premium",IF(Books_DB_F[[#This Row],[Price F($)]]&gt;25,"Mid","Budget"))</f>
        <v>Budget</v>
      </c>
    </row>
    <row r="93" spans="1:17" x14ac:dyDescent="0.25">
      <c r="A93" t="s">
        <v>473</v>
      </c>
      <c r="B93" t="s">
        <v>92</v>
      </c>
      <c r="C93" t="s">
        <v>15</v>
      </c>
      <c r="D93" s="7">
        <v>4.7</v>
      </c>
      <c r="E93">
        <v>5575</v>
      </c>
      <c r="F93" t="s">
        <v>10</v>
      </c>
      <c r="G93" s="9" t="s">
        <v>474</v>
      </c>
      <c r="H93" s="10">
        <v>10.97</v>
      </c>
      <c r="I93" t="s">
        <v>275</v>
      </c>
      <c r="J93">
        <v>224</v>
      </c>
      <c r="K93" s="6">
        <v>45951</v>
      </c>
      <c r="L93" t="s">
        <v>475</v>
      </c>
      <c r="O93">
        <v>9</v>
      </c>
      <c r="P93" s="7" t="str">
        <f>IF(Books_DB_F[[#This Row],[Rating F]]&gt;=4.7,"High",IF(Books_DB_F[[#This Row],[Rating F]]&gt;=4.4,"Medium","Low"))</f>
        <v>High</v>
      </c>
      <c r="Q93" s="7" t="str">
        <f>IF(Books_DB_F[[#This Row],[Price F($)]]&gt;48,"Premium",IF(Books_DB_F[[#This Row],[Price F($)]]&gt;25,"Mid","Budget"))</f>
        <v>Budget</v>
      </c>
    </row>
    <row r="94" spans="1:17" x14ac:dyDescent="0.25">
      <c r="A94" t="s">
        <v>529</v>
      </c>
      <c r="B94" t="s">
        <v>600</v>
      </c>
      <c r="C94" t="s">
        <v>57</v>
      </c>
      <c r="D94" s="7">
        <v>4.9000000000000004</v>
      </c>
      <c r="E94">
        <v>27964</v>
      </c>
      <c r="F94" t="s">
        <v>10</v>
      </c>
      <c r="G94" s="9" t="s">
        <v>531</v>
      </c>
      <c r="H94" s="10">
        <v>10.93</v>
      </c>
      <c r="I94" t="s">
        <v>174</v>
      </c>
      <c r="J94">
        <v>512</v>
      </c>
      <c r="K94" s="6">
        <v>42647</v>
      </c>
      <c r="L94" t="s">
        <v>374</v>
      </c>
      <c r="O94">
        <v>66</v>
      </c>
      <c r="P94" s="7" t="str">
        <f>IF(Books_DB_F[[#This Row],[Rating F]]&gt;=4.7,"High",IF(Books_DB_F[[#This Row],[Rating F]]&gt;=4.4,"Medium","Low"))</f>
        <v>High</v>
      </c>
      <c r="Q94" s="7" t="str">
        <f>IF(Books_DB_F[[#This Row],[Price F($)]]&gt;48,"Premium",IF(Books_DB_F[[#This Row],[Price F($)]]&gt;25,"Mid","Budget"))</f>
        <v>Budget</v>
      </c>
    </row>
    <row r="95" spans="1:17" x14ac:dyDescent="0.25">
      <c r="A95" t="s">
        <v>352</v>
      </c>
      <c r="B95" t="s">
        <v>353</v>
      </c>
      <c r="C95" t="s">
        <v>15</v>
      </c>
      <c r="D95" s="7">
        <v>4.7</v>
      </c>
      <c r="E95">
        <v>6506</v>
      </c>
      <c r="F95" t="s">
        <v>24</v>
      </c>
      <c r="G95" s="9" t="s">
        <v>354</v>
      </c>
      <c r="H95" s="10">
        <v>10.9</v>
      </c>
      <c r="I95" t="s">
        <v>355</v>
      </c>
      <c r="J95">
        <v>110</v>
      </c>
      <c r="K95" s="6">
        <v>45248</v>
      </c>
      <c r="L95" t="s">
        <v>77</v>
      </c>
      <c r="N95">
        <v>20</v>
      </c>
      <c r="O95">
        <v>4</v>
      </c>
      <c r="P95" s="7" t="str">
        <f>IF(Books_DB_F[[#This Row],[Rating F]]&gt;=4.7,"High",IF(Books_DB_F[[#This Row],[Rating F]]&gt;=4.4,"Medium","Low"))</f>
        <v>High</v>
      </c>
      <c r="Q95" s="7" t="str">
        <f>IF(Books_DB_F[[#This Row],[Price F($)]]&gt;48,"Premium",IF(Books_DB_F[[#This Row],[Price F($)]]&gt;25,"Mid","Budget"))</f>
        <v>Budget</v>
      </c>
    </row>
    <row r="96" spans="1:17" x14ac:dyDescent="0.25">
      <c r="A96" t="s">
        <v>120</v>
      </c>
      <c r="B96" t="s">
        <v>121</v>
      </c>
      <c r="C96" t="s">
        <v>20</v>
      </c>
      <c r="D96" s="7">
        <v>4.5</v>
      </c>
      <c r="E96">
        <v>60311</v>
      </c>
      <c r="F96" t="s">
        <v>10</v>
      </c>
      <c r="G96" s="9" t="s">
        <v>122</v>
      </c>
      <c r="H96" s="10">
        <v>10.83</v>
      </c>
      <c r="I96" t="s">
        <v>12</v>
      </c>
      <c r="J96">
        <v>272</v>
      </c>
      <c r="K96" s="6">
        <v>44866</v>
      </c>
      <c r="L96" t="s">
        <v>123</v>
      </c>
      <c r="M96">
        <v>31</v>
      </c>
      <c r="P96" s="7" t="str">
        <f>IF(Books_DB_F[[#This Row],[Rating F]]&gt;=4.7,"High",IF(Books_DB_F[[#This Row],[Rating F]]&gt;=4.4,"Medium","Low"))</f>
        <v>Medium</v>
      </c>
      <c r="Q96" s="7" t="str">
        <f>IF(Books_DB_F[[#This Row],[Price F($)]]&gt;48,"Premium",IF(Books_DB_F[[#This Row],[Price F($)]]&gt;25,"Mid","Budget"))</f>
        <v>Budget</v>
      </c>
    </row>
    <row r="97" spans="1:17" x14ac:dyDescent="0.25">
      <c r="A97" t="s">
        <v>306</v>
      </c>
      <c r="B97" t="s">
        <v>307</v>
      </c>
      <c r="C97" t="s">
        <v>20</v>
      </c>
      <c r="D97" s="7">
        <v>4.5</v>
      </c>
      <c r="E97">
        <v>105084</v>
      </c>
      <c r="F97" t="s">
        <v>24</v>
      </c>
      <c r="G97" s="9" t="s">
        <v>122</v>
      </c>
      <c r="H97" s="10">
        <v>10.83</v>
      </c>
      <c r="I97" t="s">
        <v>261</v>
      </c>
      <c r="J97">
        <v>528</v>
      </c>
      <c r="K97" s="6">
        <v>45139</v>
      </c>
      <c r="L97" t="s">
        <v>17</v>
      </c>
      <c r="M97">
        <v>93</v>
      </c>
      <c r="P97" s="7" t="str">
        <f>IF(Books_DB_F[[#This Row],[Rating F]]&gt;=4.7,"High",IF(Books_DB_F[[#This Row],[Rating F]]&gt;=4.4,"Medium","Low"))</f>
        <v>Medium</v>
      </c>
      <c r="Q97" s="7" t="str">
        <f>IF(Books_DB_F[[#This Row],[Price F($)]]&gt;48,"Premium",IF(Books_DB_F[[#This Row],[Price F($)]]&gt;25,"Mid","Budget"))</f>
        <v>Budget</v>
      </c>
    </row>
    <row r="98" spans="1:17" x14ac:dyDescent="0.25">
      <c r="A98" t="s">
        <v>462</v>
      </c>
      <c r="B98" t="s">
        <v>85</v>
      </c>
      <c r="C98" t="s">
        <v>32</v>
      </c>
      <c r="D98" s="7">
        <v>4.5999999999999996</v>
      </c>
      <c r="E98">
        <v>170525</v>
      </c>
      <c r="F98" t="s">
        <v>24</v>
      </c>
      <c r="G98" s="9" t="s">
        <v>463</v>
      </c>
      <c r="H98" s="10">
        <v>10.7</v>
      </c>
      <c r="I98" t="s">
        <v>12</v>
      </c>
      <c r="J98">
        <v>432</v>
      </c>
      <c r="K98" s="6">
        <v>44971</v>
      </c>
      <c r="L98" t="s">
        <v>17</v>
      </c>
      <c r="N98">
        <v>98</v>
      </c>
      <c r="P98" s="7" t="str">
        <f>IF(Books_DB_F[[#This Row],[Rating F]]&gt;=4.7,"High",IF(Books_DB_F[[#This Row],[Rating F]]&gt;=4.4,"Medium","Low"))</f>
        <v>Medium</v>
      </c>
      <c r="Q98" s="7" t="str">
        <f>IF(Books_DB_F[[#This Row],[Price F($)]]&gt;48,"Premium",IF(Books_DB_F[[#This Row],[Price F($)]]&gt;25,"Mid","Budget"))</f>
        <v>Budget</v>
      </c>
    </row>
    <row r="99" spans="1:17" x14ac:dyDescent="0.25">
      <c r="A99" t="s">
        <v>460</v>
      </c>
      <c r="B99" t="s">
        <v>270</v>
      </c>
      <c r="C99" t="s">
        <v>32</v>
      </c>
      <c r="D99" s="7">
        <v>4.5999999999999996</v>
      </c>
      <c r="E99">
        <v>197412</v>
      </c>
      <c r="F99" t="s">
        <v>24</v>
      </c>
      <c r="G99" s="9" t="s">
        <v>461</v>
      </c>
      <c r="H99" s="10">
        <v>10.45</v>
      </c>
      <c r="I99" t="s">
        <v>12</v>
      </c>
      <c r="J99">
        <v>576</v>
      </c>
      <c r="K99" s="6">
        <v>43732</v>
      </c>
      <c r="L99" t="s">
        <v>17</v>
      </c>
      <c r="N99">
        <v>96</v>
      </c>
      <c r="P99" s="7" t="str">
        <f>IF(Books_DB_F[[#This Row],[Rating F]]&gt;=4.7,"High",IF(Books_DB_F[[#This Row],[Rating F]]&gt;=4.4,"Medium","Low"))</f>
        <v>Medium</v>
      </c>
      <c r="Q99" s="7" t="str">
        <f>IF(Books_DB_F[[#This Row],[Price F($)]]&gt;48,"Premium",IF(Books_DB_F[[#This Row],[Price F($)]]&gt;25,"Mid","Budget"))</f>
        <v>Budget</v>
      </c>
    </row>
    <row r="100" spans="1:17" x14ac:dyDescent="0.25">
      <c r="A100" t="s">
        <v>87</v>
      </c>
      <c r="B100" t="s">
        <v>88</v>
      </c>
      <c r="C100" t="s">
        <v>32</v>
      </c>
      <c r="D100" s="7">
        <v>4.5999999999999996</v>
      </c>
      <c r="E100">
        <v>15400</v>
      </c>
      <c r="F100" t="s">
        <v>24</v>
      </c>
      <c r="G100" s="9" t="s">
        <v>89</v>
      </c>
      <c r="H100" s="10">
        <v>10.41</v>
      </c>
      <c r="I100" t="s">
        <v>12</v>
      </c>
      <c r="J100">
        <v>196</v>
      </c>
      <c r="K100" s="6">
        <v>44760</v>
      </c>
      <c r="L100" t="s">
        <v>90</v>
      </c>
      <c r="M100">
        <v>22</v>
      </c>
      <c r="N100">
        <v>49</v>
      </c>
      <c r="P100" s="7" t="str">
        <f>IF(Books_DB_F[[#This Row],[Rating F]]&gt;=4.7,"High",IF(Books_DB_F[[#This Row],[Rating F]]&gt;=4.4,"Medium","Low"))</f>
        <v>Medium</v>
      </c>
      <c r="Q100" s="7" t="str">
        <f>IF(Books_DB_F[[#This Row],[Price F($)]]&gt;48,"Premium",IF(Books_DB_F[[#This Row],[Price F($)]]&gt;25,"Mid","Budget"))</f>
        <v>Budget</v>
      </c>
    </row>
    <row r="101" spans="1:17" x14ac:dyDescent="0.25">
      <c r="A101" t="s">
        <v>276</v>
      </c>
      <c r="B101" t="s">
        <v>277</v>
      </c>
      <c r="C101" t="s">
        <v>9</v>
      </c>
      <c r="D101" s="7">
        <v>4.8</v>
      </c>
      <c r="E101">
        <v>27090</v>
      </c>
      <c r="F101" t="s">
        <v>24</v>
      </c>
      <c r="G101" s="9" t="s">
        <v>278</v>
      </c>
      <c r="H101" s="10">
        <v>10.210000000000001</v>
      </c>
      <c r="I101" t="s">
        <v>12</v>
      </c>
      <c r="J101">
        <v>216</v>
      </c>
      <c r="K101" s="6">
        <v>42156</v>
      </c>
      <c r="L101" t="s">
        <v>13</v>
      </c>
      <c r="M101">
        <v>82</v>
      </c>
      <c r="P101" s="7" t="str">
        <f>IF(Books_DB_F[[#This Row],[Rating F]]&gt;=4.7,"High",IF(Books_DB_F[[#This Row],[Rating F]]&gt;=4.4,"Medium","Low"))</f>
        <v>High</v>
      </c>
      <c r="Q101" s="7" t="str">
        <f>IF(Books_DB_F[[#This Row],[Price F($)]]&gt;48,"Premium",IF(Books_DB_F[[#This Row],[Price F($)]]&gt;25,"Mid","Budget"))</f>
        <v>Budget</v>
      </c>
    </row>
    <row r="102" spans="1:17" x14ac:dyDescent="0.25">
      <c r="A102" t="s">
        <v>279</v>
      </c>
      <c r="B102" t="s">
        <v>280</v>
      </c>
      <c r="C102" t="s">
        <v>15</v>
      </c>
      <c r="D102" s="7">
        <v>4.7</v>
      </c>
      <c r="E102">
        <v>14647</v>
      </c>
      <c r="F102" t="s">
        <v>24</v>
      </c>
      <c r="G102" s="9" t="s">
        <v>281</v>
      </c>
      <c r="H102" s="10">
        <v>10.199999999999999</v>
      </c>
      <c r="I102" t="s">
        <v>12</v>
      </c>
      <c r="J102">
        <v>200</v>
      </c>
      <c r="K102" s="6">
        <v>44256</v>
      </c>
      <c r="L102" t="s">
        <v>127</v>
      </c>
      <c r="M102">
        <v>83</v>
      </c>
      <c r="P102" s="7" t="str">
        <f>IF(Books_DB_F[[#This Row],[Rating F]]&gt;=4.7,"High",IF(Books_DB_F[[#This Row],[Rating F]]&gt;=4.4,"Medium","Low"))</f>
        <v>High</v>
      </c>
      <c r="Q102" s="7" t="str">
        <f>IF(Books_DB_F[[#This Row],[Price F($)]]&gt;48,"Premium",IF(Books_DB_F[[#This Row],[Price F($)]]&gt;25,"Mid","Budget"))</f>
        <v>Budget</v>
      </c>
    </row>
    <row r="103" spans="1:17" x14ac:dyDescent="0.25">
      <c r="A103" t="s">
        <v>303</v>
      </c>
      <c r="B103" t="s">
        <v>304</v>
      </c>
      <c r="C103" t="s">
        <v>20</v>
      </c>
      <c r="D103" s="7">
        <v>4.5</v>
      </c>
      <c r="E103">
        <v>235857</v>
      </c>
      <c r="F103" t="s">
        <v>24</v>
      </c>
      <c r="G103" s="9" t="s">
        <v>305</v>
      </c>
      <c r="H103" s="10">
        <v>10.18</v>
      </c>
      <c r="I103" t="s">
        <v>12</v>
      </c>
      <c r="J103">
        <v>544</v>
      </c>
      <c r="K103" s="6">
        <v>42829</v>
      </c>
      <c r="L103" t="s">
        <v>17</v>
      </c>
      <c r="M103">
        <v>92</v>
      </c>
      <c r="P103" s="7" t="str">
        <f>IF(Books_DB_F[[#This Row],[Rating F]]&gt;=4.7,"High",IF(Books_DB_F[[#This Row],[Rating F]]&gt;=4.4,"Medium","Low"))</f>
        <v>Medium</v>
      </c>
      <c r="Q103" s="7" t="str">
        <f>IF(Books_DB_F[[#This Row],[Price F($)]]&gt;48,"Premium",IF(Books_DB_F[[#This Row],[Price F($)]]&gt;25,"Mid","Budget"))</f>
        <v>Budget</v>
      </c>
    </row>
    <row r="104" spans="1:17" x14ac:dyDescent="0.25">
      <c r="A104" t="s">
        <v>457</v>
      </c>
      <c r="B104" t="s">
        <v>458</v>
      </c>
      <c r="C104" t="s">
        <v>32</v>
      </c>
      <c r="D104" s="7">
        <v>4.5999999999999996</v>
      </c>
      <c r="E104">
        <v>22419</v>
      </c>
      <c r="F104" t="s">
        <v>10</v>
      </c>
      <c r="G104" s="9" t="s">
        <v>305</v>
      </c>
      <c r="H104" s="10">
        <v>10.18</v>
      </c>
      <c r="I104" t="s">
        <v>12</v>
      </c>
      <c r="J104">
        <v>704</v>
      </c>
      <c r="K104" s="6">
        <v>41000</v>
      </c>
      <c r="L104" t="s">
        <v>459</v>
      </c>
      <c r="N104">
        <v>95</v>
      </c>
      <c r="O104">
        <v>21</v>
      </c>
      <c r="P104" s="7" t="str">
        <f>IF(Books_DB_F[[#This Row],[Rating F]]&gt;=4.7,"High",IF(Books_DB_F[[#This Row],[Rating F]]&gt;=4.4,"Medium","Low"))</f>
        <v>Medium</v>
      </c>
      <c r="Q104" s="7" t="str">
        <f>IF(Books_DB_F[[#This Row],[Price F($)]]&gt;48,"Premium",IF(Books_DB_F[[#This Row],[Price F($)]]&gt;25,"Mid","Budget"))</f>
        <v>Budget</v>
      </c>
    </row>
    <row r="105" spans="1:17" x14ac:dyDescent="0.25">
      <c r="A105" t="s">
        <v>193</v>
      </c>
      <c r="B105" t="s">
        <v>194</v>
      </c>
      <c r="C105" t="s">
        <v>32</v>
      </c>
      <c r="D105" s="7">
        <v>4.5999999999999996</v>
      </c>
      <c r="E105">
        <v>23034</v>
      </c>
      <c r="F105" t="s">
        <v>24</v>
      </c>
      <c r="G105" s="9" t="s">
        <v>195</v>
      </c>
      <c r="H105" s="10">
        <v>10.17</v>
      </c>
      <c r="I105" t="s">
        <v>12</v>
      </c>
      <c r="J105">
        <v>352</v>
      </c>
      <c r="K105" s="6">
        <v>43599</v>
      </c>
      <c r="L105" t="s">
        <v>127</v>
      </c>
      <c r="M105">
        <v>55</v>
      </c>
      <c r="P105" s="7" t="str">
        <f>IF(Books_DB_F[[#This Row],[Rating F]]&gt;=4.7,"High",IF(Books_DB_F[[#This Row],[Rating F]]&gt;=4.4,"Medium","Low"))</f>
        <v>Medium</v>
      </c>
      <c r="Q105" s="7" t="str">
        <f>IF(Books_DB_F[[#This Row],[Price F($)]]&gt;48,"Premium",IF(Books_DB_F[[#This Row],[Price F($)]]&gt;25,"Mid","Budget"))</f>
        <v>Budget</v>
      </c>
    </row>
    <row r="106" spans="1:17" x14ac:dyDescent="0.25">
      <c r="A106" t="s">
        <v>62</v>
      </c>
      <c r="B106" t="s">
        <v>63</v>
      </c>
      <c r="C106" t="s">
        <v>28</v>
      </c>
      <c r="D106" s="7">
        <v>4.4000000000000004</v>
      </c>
      <c r="E106">
        <v>80996</v>
      </c>
      <c r="F106" t="s">
        <v>24</v>
      </c>
      <c r="G106" s="9" t="s">
        <v>64</v>
      </c>
      <c r="H106" s="10">
        <v>9.99</v>
      </c>
      <c r="I106" t="s">
        <v>12</v>
      </c>
      <c r="J106">
        <v>416</v>
      </c>
      <c r="K106" s="6">
        <v>43193</v>
      </c>
      <c r="L106" t="s">
        <v>37</v>
      </c>
      <c r="M106">
        <v>14</v>
      </c>
      <c r="P106" s="7" t="str">
        <f>IF(Books_DB_F[[#This Row],[Rating F]]&gt;=4.7,"High",IF(Books_DB_F[[#This Row],[Rating F]]&gt;=4.4,"Medium","Low"))</f>
        <v>Medium</v>
      </c>
      <c r="Q106" s="7" t="str">
        <f>IF(Books_DB_F[[#This Row],[Price F($)]]&gt;48,"Premium",IF(Books_DB_F[[#This Row],[Price F($)]]&gt;25,"Mid","Budget"))</f>
        <v>Budget</v>
      </c>
    </row>
    <row r="107" spans="1:17" x14ac:dyDescent="0.25">
      <c r="A107" t="s">
        <v>175</v>
      </c>
      <c r="B107" t="s">
        <v>176</v>
      </c>
      <c r="C107" t="s">
        <v>140</v>
      </c>
      <c r="D107" s="7">
        <v>4.2</v>
      </c>
      <c r="E107">
        <v>142671</v>
      </c>
      <c r="F107" t="s">
        <v>24</v>
      </c>
      <c r="G107" s="9" t="s">
        <v>64</v>
      </c>
      <c r="H107" s="10">
        <v>9.99</v>
      </c>
      <c r="I107" t="s">
        <v>12</v>
      </c>
      <c r="J107">
        <v>352</v>
      </c>
      <c r="K107" s="6">
        <v>44831</v>
      </c>
      <c r="L107" t="s">
        <v>17</v>
      </c>
      <c r="M107">
        <v>48</v>
      </c>
      <c r="P107" s="7" t="str">
        <f>IF(Books_DB_F[[#This Row],[Rating F]]&gt;=4.7,"High",IF(Books_DB_F[[#This Row],[Rating F]]&gt;=4.4,"Medium","Low"))</f>
        <v>Low</v>
      </c>
      <c r="Q107" s="7" t="str">
        <f>IF(Books_DB_F[[#This Row],[Price F($)]]&gt;48,"Premium",IF(Books_DB_F[[#This Row],[Price F($)]]&gt;25,"Mid","Budget"))</f>
        <v>Budget</v>
      </c>
    </row>
    <row r="108" spans="1:17" x14ac:dyDescent="0.25">
      <c r="A108" t="s">
        <v>360</v>
      </c>
      <c r="B108" t="s">
        <v>361</v>
      </c>
      <c r="C108" t="s">
        <v>9</v>
      </c>
      <c r="D108" s="7">
        <v>4.8</v>
      </c>
      <c r="E108">
        <v>9897</v>
      </c>
      <c r="F108" t="s">
        <v>24</v>
      </c>
      <c r="G108" s="9" t="s">
        <v>64</v>
      </c>
      <c r="H108" s="10">
        <v>9.99</v>
      </c>
      <c r="I108" t="s">
        <v>362</v>
      </c>
      <c r="J108">
        <v>88</v>
      </c>
      <c r="K108" s="6">
        <v>45441</v>
      </c>
      <c r="L108" t="s">
        <v>77</v>
      </c>
      <c r="N108">
        <v>24</v>
      </c>
      <c r="O108">
        <v>22</v>
      </c>
      <c r="P108" s="7" t="str">
        <f>IF(Books_DB_F[[#This Row],[Rating F]]&gt;=4.7,"High",IF(Books_DB_F[[#This Row],[Rating F]]&gt;=4.4,"Medium","Low"))</f>
        <v>High</v>
      </c>
      <c r="Q108" s="7" t="str">
        <f>IF(Books_DB_F[[#This Row],[Price F($)]]&gt;48,"Premium",IF(Books_DB_F[[#This Row],[Price F($)]]&gt;25,"Mid","Budget"))</f>
        <v>Budget</v>
      </c>
    </row>
    <row r="109" spans="1:17" x14ac:dyDescent="0.25">
      <c r="A109" t="s">
        <v>363</v>
      </c>
      <c r="B109" t="s">
        <v>361</v>
      </c>
      <c r="C109" t="s">
        <v>9</v>
      </c>
      <c r="D109" s="7">
        <v>4.8</v>
      </c>
      <c r="E109">
        <v>10232</v>
      </c>
      <c r="F109" t="s">
        <v>24</v>
      </c>
      <c r="G109" s="9" t="s">
        <v>64</v>
      </c>
      <c r="H109" s="10">
        <v>9.99</v>
      </c>
      <c r="I109" t="s">
        <v>12</v>
      </c>
      <c r="J109">
        <v>88</v>
      </c>
      <c r="K109" s="6">
        <v>45434</v>
      </c>
      <c r="L109" t="s">
        <v>77</v>
      </c>
      <c r="N109">
        <v>30</v>
      </c>
      <c r="O109">
        <v>10</v>
      </c>
      <c r="P109" s="7" t="str">
        <f>IF(Books_DB_F[[#This Row],[Rating F]]&gt;=4.7,"High",IF(Books_DB_F[[#This Row],[Rating F]]&gt;=4.4,"Medium","Low"))</f>
        <v>High</v>
      </c>
      <c r="Q109" s="7" t="str">
        <f>IF(Books_DB_F[[#This Row],[Price F($)]]&gt;48,"Premium",IF(Books_DB_F[[#This Row],[Price F($)]]&gt;25,"Mid","Budget"))</f>
        <v>Budget</v>
      </c>
    </row>
    <row r="110" spans="1:17" x14ac:dyDescent="0.25">
      <c r="A110" t="s">
        <v>364</v>
      </c>
      <c r="B110" t="s">
        <v>361</v>
      </c>
      <c r="C110" t="s">
        <v>9</v>
      </c>
      <c r="D110" s="7">
        <v>4.8</v>
      </c>
      <c r="E110">
        <v>6869</v>
      </c>
      <c r="F110" t="s">
        <v>24</v>
      </c>
      <c r="G110" s="9" t="s">
        <v>64</v>
      </c>
      <c r="H110" s="10">
        <v>9.99</v>
      </c>
      <c r="I110" t="s">
        <v>365</v>
      </c>
      <c r="J110">
        <v>110</v>
      </c>
      <c r="K110" s="6">
        <v>45416</v>
      </c>
      <c r="L110" t="s">
        <v>77</v>
      </c>
      <c r="N110">
        <v>34</v>
      </c>
      <c r="O110">
        <v>11</v>
      </c>
      <c r="P110" s="7" t="str">
        <f>IF(Books_DB_F[[#This Row],[Rating F]]&gt;=4.7,"High",IF(Books_DB_F[[#This Row],[Rating F]]&gt;=4.4,"Medium","Low"))</f>
        <v>High</v>
      </c>
      <c r="Q110" s="7" t="str">
        <f>IF(Books_DB_F[[#This Row],[Price F($)]]&gt;48,"Premium",IF(Books_DB_F[[#This Row],[Price F($)]]&gt;25,"Mid","Budget"))</f>
        <v>Budget</v>
      </c>
    </row>
    <row r="111" spans="1:17" x14ac:dyDescent="0.25">
      <c r="A111" t="s">
        <v>378</v>
      </c>
      <c r="B111" t="s">
        <v>361</v>
      </c>
      <c r="C111" t="s">
        <v>9</v>
      </c>
      <c r="D111" s="7">
        <v>4.8</v>
      </c>
      <c r="E111">
        <v>6443</v>
      </c>
      <c r="F111" t="s">
        <v>24</v>
      </c>
      <c r="G111" s="9" t="s">
        <v>64</v>
      </c>
      <c r="H111" s="10">
        <v>9.99</v>
      </c>
      <c r="I111" t="s">
        <v>12</v>
      </c>
      <c r="J111">
        <v>88</v>
      </c>
      <c r="K111" s="6">
        <v>45482</v>
      </c>
      <c r="L111" t="s">
        <v>77</v>
      </c>
      <c r="N111">
        <v>48</v>
      </c>
      <c r="O111">
        <v>69</v>
      </c>
      <c r="P111" s="7" t="str">
        <f>IF(Books_DB_F[[#This Row],[Rating F]]&gt;=4.7,"High",IF(Books_DB_F[[#This Row],[Rating F]]&gt;=4.4,"Medium","Low"))</f>
        <v>High</v>
      </c>
      <c r="Q111" s="7" t="str">
        <f>IF(Books_DB_F[[#This Row],[Price F($)]]&gt;48,"Premium",IF(Books_DB_F[[#This Row],[Price F($)]]&gt;25,"Mid","Budget"))</f>
        <v>Budget</v>
      </c>
    </row>
    <row r="112" spans="1:17" x14ac:dyDescent="0.25">
      <c r="A112" t="s">
        <v>390</v>
      </c>
      <c r="B112" t="s">
        <v>391</v>
      </c>
      <c r="C112" t="s">
        <v>32</v>
      </c>
      <c r="D112" s="7">
        <v>4.5999999999999996</v>
      </c>
      <c r="E112">
        <v>34573</v>
      </c>
      <c r="F112" t="s">
        <v>24</v>
      </c>
      <c r="G112" s="9" t="s">
        <v>64</v>
      </c>
      <c r="H112" s="10">
        <v>9.99</v>
      </c>
      <c r="I112" t="s">
        <v>94</v>
      </c>
      <c r="J112">
        <v>79</v>
      </c>
      <c r="K112" s="6">
        <v>42872</v>
      </c>
      <c r="L112" t="s">
        <v>77</v>
      </c>
      <c r="N112">
        <v>56</v>
      </c>
      <c r="P112" s="7" t="str">
        <f>IF(Books_DB_F[[#This Row],[Rating F]]&gt;=4.7,"High",IF(Books_DB_F[[#This Row],[Rating F]]&gt;=4.4,"Medium","Low"))</f>
        <v>Medium</v>
      </c>
      <c r="Q112" s="7" t="str">
        <f>IF(Books_DB_F[[#This Row],[Price F($)]]&gt;48,"Premium",IF(Books_DB_F[[#This Row],[Price F($)]]&gt;25,"Mid","Budget"))</f>
        <v>Budget</v>
      </c>
    </row>
    <row r="113" spans="1:17" x14ac:dyDescent="0.25">
      <c r="A113" t="s">
        <v>483</v>
      </c>
      <c r="B113" t="s">
        <v>361</v>
      </c>
      <c r="C113" t="s">
        <v>9</v>
      </c>
      <c r="D113" s="7">
        <v>4.8</v>
      </c>
      <c r="E113">
        <v>8113</v>
      </c>
      <c r="F113" t="s">
        <v>24</v>
      </c>
      <c r="G113" s="9" t="s">
        <v>64</v>
      </c>
      <c r="H113" s="10">
        <v>9.99</v>
      </c>
      <c r="I113" t="s">
        <v>12</v>
      </c>
      <c r="J113">
        <v>88</v>
      </c>
      <c r="K113" s="6">
        <v>45591</v>
      </c>
      <c r="L113" t="s">
        <v>77</v>
      </c>
      <c r="O113">
        <v>27</v>
      </c>
      <c r="P113" s="7" t="str">
        <f>IF(Books_DB_F[[#This Row],[Rating F]]&gt;=4.7,"High",IF(Books_DB_F[[#This Row],[Rating F]]&gt;=4.4,"Medium","Low"))</f>
        <v>High</v>
      </c>
      <c r="Q113" s="7" t="str">
        <f>IF(Books_DB_F[[#This Row],[Price F($)]]&gt;48,"Premium",IF(Books_DB_F[[#This Row],[Price F($)]]&gt;25,"Mid","Budget"))</f>
        <v>Budget</v>
      </c>
    </row>
    <row r="114" spans="1:17" x14ac:dyDescent="0.25">
      <c r="A114" t="s">
        <v>399</v>
      </c>
      <c r="B114" t="s">
        <v>85</v>
      </c>
      <c r="C114" t="s">
        <v>9</v>
      </c>
      <c r="D114" s="7">
        <v>4.8</v>
      </c>
      <c r="E114">
        <v>246467</v>
      </c>
      <c r="F114" t="s">
        <v>24</v>
      </c>
      <c r="G114" s="9" t="s">
        <v>400</v>
      </c>
      <c r="H114" s="10">
        <v>9.98</v>
      </c>
      <c r="I114" t="s">
        <v>12</v>
      </c>
      <c r="J114">
        <v>784</v>
      </c>
      <c r="K114" s="6">
        <v>44810</v>
      </c>
      <c r="L114" t="s">
        <v>17</v>
      </c>
      <c r="N114">
        <v>61</v>
      </c>
      <c r="P114" s="7" t="str">
        <f>IF(Books_DB_F[[#This Row],[Rating F]]&gt;=4.7,"High",IF(Books_DB_F[[#This Row],[Rating F]]&gt;=4.4,"Medium","Low"))</f>
        <v>High</v>
      </c>
      <c r="Q114" s="7" t="str">
        <f>IF(Books_DB_F[[#This Row],[Price F($)]]&gt;48,"Premium",IF(Books_DB_F[[#This Row],[Price F($)]]&gt;25,"Mid","Budget"))</f>
        <v>Budget</v>
      </c>
    </row>
    <row r="115" spans="1:17" x14ac:dyDescent="0.25">
      <c r="A115" t="s">
        <v>181</v>
      </c>
      <c r="B115" t="s">
        <v>105</v>
      </c>
      <c r="C115" t="s">
        <v>28</v>
      </c>
      <c r="D115" s="7">
        <v>4.4000000000000004</v>
      </c>
      <c r="E115">
        <v>119095</v>
      </c>
      <c r="F115" t="s">
        <v>24</v>
      </c>
      <c r="G115" s="9" t="s">
        <v>182</v>
      </c>
      <c r="H115" s="10">
        <v>9.9499999999999993</v>
      </c>
      <c r="I115" t="s">
        <v>12</v>
      </c>
      <c r="J115">
        <v>592</v>
      </c>
      <c r="K115" s="6">
        <v>44978</v>
      </c>
      <c r="L115" t="s">
        <v>17</v>
      </c>
      <c r="M115">
        <v>50</v>
      </c>
      <c r="P115" s="7" t="str">
        <f>IF(Books_DB_F[[#This Row],[Rating F]]&gt;=4.7,"High",IF(Books_DB_F[[#This Row],[Rating F]]&gt;=4.4,"Medium","Low"))</f>
        <v>Medium</v>
      </c>
      <c r="Q115" s="7" t="str">
        <f>IF(Books_DB_F[[#This Row],[Price F($)]]&gt;48,"Premium",IF(Books_DB_F[[#This Row],[Price F($)]]&gt;25,"Mid","Budget"))</f>
        <v>Budget</v>
      </c>
    </row>
    <row r="116" spans="1:17" x14ac:dyDescent="0.25">
      <c r="A116" t="s">
        <v>266</v>
      </c>
      <c r="B116" t="s">
        <v>267</v>
      </c>
      <c r="C116" t="s">
        <v>9</v>
      </c>
      <c r="D116" s="7">
        <v>4.8</v>
      </c>
      <c r="E116">
        <v>20638</v>
      </c>
      <c r="F116" t="s">
        <v>10</v>
      </c>
      <c r="G116" s="9" t="s">
        <v>268</v>
      </c>
      <c r="H116" s="10">
        <v>9.82</v>
      </c>
      <c r="I116" t="s">
        <v>174</v>
      </c>
      <c r="J116">
        <v>40</v>
      </c>
      <c r="K116" s="6">
        <v>41074</v>
      </c>
      <c r="L116" t="s">
        <v>61</v>
      </c>
      <c r="M116">
        <v>79</v>
      </c>
      <c r="N116">
        <v>94</v>
      </c>
      <c r="P116" s="7" t="str">
        <f>IF(Books_DB_F[[#This Row],[Rating F]]&gt;=4.7,"High",IF(Books_DB_F[[#This Row],[Rating F]]&gt;=4.4,"Medium","Low"))</f>
        <v>High</v>
      </c>
      <c r="Q116" s="7" t="str">
        <f>IF(Books_DB_F[[#This Row],[Price F($)]]&gt;48,"Premium",IF(Books_DB_F[[#This Row],[Price F($)]]&gt;25,"Mid","Budget"))</f>
        <v>Budget</v>
      </c>
    </row>
    <row r="117" spans="1:17" x14ac:dyDescent="0.25">
      <c r="A117" t="s">
        <v>104</v>
      </c>
      <c r="B117" t="s">
        <v>105</v>
      </c>
      <c r="C117" t="s">
        <v>20</v>
      </c>
      <c r="D117" s="7">
        <v>4.5</v>
      </c>
      <c r="E117">
        <v>232211</v>
      </c>
      <c r="F117" t="s">
        <v>24</v>
      </c>
      <c r="G117" s="9" t="s">
        <v>106</v>
      </c>
      <c r="H117" s="10">
        <v>9.77</v>
      </c>
      <c r="I117" t="s">
        <v>12</v>
      </c>
      <c r="J117">
        <v>570</v>
      </c>
      <c r="K117" s="6">
        <v>44573</v>
      </c>
      <c r="L117" t="s">
        <v>17</v>
      </c>
      <c r="M117">
        <v>26</v>
      </c>
      <c r="P117" s="7" t="str">
        <f>IF(Books_DB_F[[#This Row],[Rating F]]&gt;=4.7,"High",IF(Books_DB_F[[#This Row],[Rating F]]&gt;=4.4,"Medium","Low"))</f>
        <v>Medium</v>
      </c>
      <c r="Q117" s="7" t="str">
        <f>IF(Books_DB_F[[#This Row],[Price F($)]]&gt;48,"Premium",IF(Books_DB_F[[#This Row],[Price F($)]]&gt;25,"Mid","Budget"))</f>
        <v>Budget</v>
      </c>
    </row>
    <row r="118" spans="1:17" x14ac:dyDescent="0.25">
      <c r="A118" t="s">
        <v>210</v>
      </c>
      <c r="B118" t="s">
        <v>176</v>
      </c>
      <c r="C118" t="s">
        <v>28</v>
      </c>
      <c r="D118" s="7">
        <v>4.4000000000000004</v>
      </c>
      <c r="E118">
        <v>108327</v>
      </c>
      <c r="F118" t="s">
        <v>24</v>
      </c>
      <c r="G118" s="9" t="s">
        <v>211</v>
      </c>
      <c r="H118" s="10">
        <v>9.74</v>
      </c>
      <c r="I118" t="s">
        <v>12</v>
      </c>
      <c r="J118">
        <v>448</v>
      </c>
      <c r="K118" s="6">
        <v>44831</v>
      </c>
      <c r="L118" t="s">
        <v>212</v>
      </c>
      <c r="M118">
        <v>61</v>
      </c>
      <c r="P118" s="7" t="str">
        <f>IF(Books_DB_F[[#This Row],[Rating F]]&gt;=4.7,"High",IF(Books_DB_F[[#This Row],[Rating F]]&gt;=4.4,"Medium","Low"))</f>
        <v>Medium</v>
      </c>
      <c r="Q118" s="7" t="str">
        <f>IF(Books_DB_F[[#This Row],[Price F($)]]&gt;48,"Premium",IF(Books_DB_F[[#This Row],[Price F($)]]&gt;25,"Mid","Budget"))</f>
        <v>Budget</v>
      </c>
    </row>
    <row r="119" spans="1:17" x14ac:dyDescent="0.25">
      <c r="A119" t="s">
        <v>484</v>
      </c>
      <c r="B119" t="s">
        <v>590</v>
      </c>
      <c r="C119" t="s">
        <v>28</v>
      </c>
      <c r="D119" s="7">
        <v>4.4000000000000004</v>
      </c>
      <c r="E119">
        <v>348084</v>
      </c>
      <c r="F119" t="s">
        <v>24</v>
      </c>
      <c r="G119" s="9" t="s">
        <v>211</v>
      </c>
      <c r="H119" s="10">
        <v>9.74</v>
      </c>
      <c r="I119" t="s">
        <v>12</v>
      </c>
      <c r="J119">
        <v>352</v>
      </c>
      <c r="K119" s="6">
        <v>45118</v>
      </c>
      <c r="L119" t="s">
        <v>54</v>
      </c>
      <c r="O119">
        <v>29</v>
      </c>
      <c r="P119" s="7" t="str">
        <f>IF(Books_DB_F[[#This Row],[Rating F]]&gt;=4.7,"High",IF(Books_DB_F[[#This Row],[Rating F]]&gt;=4.4,"Medium","Low"))</f>
        <v>Medium</v>
      </c>
      <c r="Q119" s="7" t="str">
        <f>IF(Books_DB_F[[#This Row],[Price F($)]]&gt;48,"Premium",IF(Books_DB_F[[#This Row],[Price F($)]]&gt;25,"Mid","Budget"))</f>
        <v>Budget</v>
      </c>
    </row>
    <row r="120" spans="1:17" x14ac:dyDescent="0.25">
      <c r="A120" t="s">
        <v>51</v>
      </c>
      <c r="B120" t="s">
        <v>590</v>
      </c>
      <c r="C120" t="s">
        <v>20</v>
      </c>
      <c r="D120" s="7">
        <v>4.5</v>
      </c>
      <c r="E120">
        <v>653111</v>
      </c>
      <c r="F120" t="s">
        <v>24</v>
      </c>
      <c r="G120" s="9" t="s">
        <v>53</v>
      </c>
      <c r="H120" s="10">
        <v>9.69</v>
      </c>
      <c r="I120" t="s">
        <v>12</v>
      </c>
      <c r="J120">
        <v>336</v>
      </c>
      <c r="K120" s="6">
        <v>44796</v>
      </c>
      <c r="L120" t="s">
        <v>54</v>
      </c>
      <c r="M120">
        <v>12</v>
      </c>
      <c r="N120">
        <v>15</v>
      </c>
      <c r="O120">
        <v>5</v>
      </c>
      <c r="P120" s="7" t="str">
        <f>IF(Books_DB_F[[#This Row],[Rating F]]&gt;=4.7,"High",IF(Books_DB_F[[#This Row],[Rating F]]&gt;=4.4,"Medium","Low"))</f>
        <v>Medium</v>
      </c>
      <c r="Q120" s="7" t="str">
        <f>IF(Books_DB_F[[#This Row],[Price F($)]]&gt;48,"Premium",IF(Books_DB_F[[#This Row],[Price F($)]]&gt;25,"Mid","Budget"))</f>
        <v>Budget</v>
      </c>
    </row>
    <row r="121" spans="1:17" x14ac:dyDescent="0.25">
      <c r="A121" t="s">
        <v>572</v>
      </c>
      <c r="B121" t="s">
        <v>573</v>
      </c>
      <c r="C121" t="s">
        <v>57</v>
      </c>
      <c r="D121" s="7">
        <v>4.9000000000000004</v>
      </c>
      <c r="E121">
        <v>3433</v>
      </c>
      <c r="F121" t="s">
        <v>10</v>
      </c>
      <c r="G121" s="9" t="s">
        <v>574</v>
      </c>
      <c r="H121" s="10">
        <v>9.65</v>
      </c>
      <c r="I121" t="s">
        <v>12</v>
      </c>
      <c r="J121">
        <v>304</v>
      </c>
      <c r="K121" s="6">
        <v>45734</v>
      </c>
      <c r="L121" t="s">
        <v>127</v>
      </c>
      <c r="O121">
        <v>97</v>
      </c>
      <c r="P121" s="7" t="str">
        <f>IF(Books_DB_F[[#This Row],[Rating F]]&gt;=4.7,"High",IF(Books_DB_F[[#This Row],[Rating F]]&gt;=4.4,"Medium","Low"))</f>
        <v>High</v>
      </c>
      <c r="Q121" s="7" t="str">
        <f>IF(Books_DB_F[[#This Row],[Price F($)]]&gt;48,"Premium",IF(Books_DB_F[[#This Row],[Price F($)]]&gt;25,"Mid","Budget"))</f>
        <v>Budget</v>
      </c>
    </row>
    <row r="122" spans="1:17" x14ac:dyDescent="0.25">
      <c r="A122" t="s">
        <v>569</v>
      </c>
      <c r="B122" t="s">
        <v>601</v>
      </c>
      <c r="C122" t="s">
        <v>15</v>
      </c>
      <c r="D122" s="7">
        <v>4.7</v>
      </c>
      <c r="E122">
        <v>22093</v>
      </c>
      <c r="F122" t="s">
        <v>10</v>
      </c>
      <c r="G122" s="9" t="s">
        <v>571</v>
      </c>
      <c r="H122" s="10">
        <v>9.64</v>
      </c>
      <c r="I122" t="s">
        <v>12</v>
      </c>
      <c r="J122">
        <v>1040</v>
      </c>
      <c r="K122" s="6">
        <v>45923</v>
      </c>
      <c r="L122" t="s">
        <v>17</v>
      </c>
      <c r="O122">
        <v>96</v>
      </c>
      <c r="P122" s="7" t="str">
        <f>IF(Books_DB_F[[#This Row],[Rating F]]&gt;=4.7,"High",IF(Books_DB_F[[#This Row],[Rating F]]&gt;=4.4,"Medium","Low"))</f>
        <v>High</v>
      </c>
      <c r="Q122" s="7" t="str">
        <f>IF(Books_DB_F[[#This Row],[Price F($)]]&gt;48,"Premium",IF(Books_DB_F[[#This Row],[Price F($)]]&gt;25,"Mid","Budget"))</f>
        <v>Budget</v>
      </c>
    </row>
    <row r="123" spans="1:17" x14ac:dyDescent="0.25">
      <c r="A123" t="s">
        <v>408</v>
      </c>
      <c r="B123" t="s">
        <v>409</v>
      </c>
      <c r="C123" t="s">
        <v>9</v>
      </c>
      <c r="D123" s="7">
        <v>4.8</v>
      </c>
      <c r="E123">
        <v>5807</v>
      </c>
      <c r="F123" t="s">
        <v>24</v>
      </c>
      <c r="G123" s="9" t="s">
        <v>410</v>
      </c>
      <c r="H123" s="10">
        <v>9.6300000000000008</v>
      </c>
      <c r="I123" t="s">
        <v>12</v>
      </c>
      <c r="J123">
        <v>88</v>
      </c>
      <c r="K123" s="6">
        <v>45436</v>
      </c>
      <c r="L123" t="s">
        <v>77</v>
      </c>
      <c r="N123">
        <v>67</v>
      </c>
      <c r="O123">
        <v>95</v>
      </c>
      <c r="P123" s="7" t="str">
        <f>IF(Books_DB_F[[#This Row],[Rating F]]&gt;=4.7,"High",IF(Books_DB_F[[#This Row],[Rating F]]&gt;=4.4,"Medium","Low"))</f>
        <v>High</v>
      </c>
      <c r="Q123" s="7" t="str">
        <f>IF(Books_DB_F[[#This Row],[Price F($)]]&gt;48,"Premium",IF(Books_DB_F[[#This Row],[Price F($)]]&gt;25,"Mid","Budget"))</f>
        <v>Budget</v>
      </c>
    </row>
    <row r="124" spans="1:17" x14ac:dyDescent="0.25">
      <c r="A124" t="s">
        <v>541</v>
      </c>
      <c r="B124" t="s">
        <v>542</v>
      </c>
      <c r="C124" t="s">
        <v>32</v>
      </c>
      <c r="D124" s="7">
        <v>4.5999999999999996</v>
      </c>
      <c r="E124">
        <v>6031</v>
      </c>
      <c r="F124" t="s">
        <v>10</v>
      </c>
      <c r="G124" s="9" t="s">
        <v>543</v>
      </c>
      <c r="H124" s="10">
        <v>9.59</v>
      </c>
      <c r="I124" t="s">
        <v>12</v>
      </c>
      <c r="J124">
        <v>592</v>
      </c>
      <c r="K124" s="6">
        <v>45944</v>
      </c>
      <c r="L124" t="s">
        <v>127</v>
      </c>
      <c r="O124">
        <v>78</v>
      </c>
      <c r="P124" s="7" t="str">
        <f>IF(Books_DB_F[[#This Row],[Rating F]]&gt;=4.7,"High",IF(Books_DB_F[[#This Row],[Rating F]]&gt;=4.4,"Medium","Low"))</f>
        <v>Medium</v>
      </c>
      <c r="Q124" s="7" t="str">
        <f>IF(Books_DB_F[[#This Row],[Price F($)]]&gt;48,"Premium",IF(Books_DB_F[[#This Row],[Price F($)]]&gt;25,"Mid","Budget"))</f>
        <v>Budget</v>
      </c>
    </row>
    <row r="125" spans="1:17" x14ac:dyDescent="0.25">
      <c r="A125" t="s">
        <v>404</v>
      </c>
      <c r="B125" t="s">
        <v>590</v>
      </c>
      <c r="C125" t="s">
        <v>179</v>
      </c>
      <c r="D125" s="7">
        <v>4.3</v>
      </c>
      <c r="E125">
        <v>243379</v>
      </c>
      <c r="F125" t="s">
        <v>24</v>
      </c>
      <c r="G125" s="9" t="s">
        <v>405</v>
      </c>
      <c r="H125" s="10">
        <v>9.5299999999999994</v>
      </c>
      <c r="I125" t="s">
        <v>12</v>
      </c>
      <c r="J125">
        <v>400</v>
      </c>
      <c r="K125" s="6">
        <v>45328</v>
      </c>
      <c r="L125" t="s">
        <v>54</v>
      </c>
      <c r="N125">
        <v>65</v>
      </c>
      <c r="P125" s="7" t="str">
        <f>IF(Books_DB_F[[#This Row],[Rating F]]&gt;=4.7,"High",IF(Books_DB_F[[#This Row],[Rating F]]&gt;=4.4,"Medium","Low"))</f>
        <v>Low</v>
      </c>
      <c r="Q125" s="7" t="str">
        <f>IF(Books_DB_F[[#This Row],[Price F($)]]&gt;48,"Premium",IF(Books_DB_F[[#This Row],[Price F($)]]&gt;25,"Mid","Budget"))</f>
        <v>Budget</v>
      </c>
    </row>
    <row r="126" spans="1:17" x14ac:dyDescent="0.25">
      <c r="A126" t="s">
        <v>428</v>
      </c>
      <c r="B126" t="s">
        <v>429</v>
      </c>
      <c r="C126" t="s">
        <v>9</v>
      </c>
      <c r="D126" s="7">
        <v>4.8</v>
      </c>
      <c r="E126">
        <v>17396</v>
      </c>
      <c r="F126" t="s">
        <v>10</v>
      </c>
      <c r="G126" s="9" t="s">
        <v>430</v>
      </c>
      <c r="H126" s="10">
        <v>9.49</v>
      </c>
      <c r="I126" t="s">
        <v>130</v>
      </c>
      <c r="J126">
        <v>64</v>
      </c>
      <c r="K126" s="6">
        <v>21774</v>
      </c>
      <c r="L126" t="s">
        <v>61</v>
      </c>
      <c r="N126">
        <v>78</v>
      </c>
      <c r="O126">
        <v>83</v>
      </c>
      <c r="P126" s="7" t="str">
        <f>IF(Books_DB_F[[#This Row],[Rating F]]&gt;=4.7,"High",IF(Books_DB_F[[#This Row],[Rating F]]&gt;=4.4,"Medium","Low"))</f>
        <v>High</v>
      </c>
      <c r="Q126" s="7" t="str">
        <f>IF(Books_DB_F[[#This Row],[Price F($)]]&gt;48,"Premium",IF(Books_DB_F[[#This Row],[Price F($)]]&gt;25,"Mid","Budget"))</f>
        <v>Budget</v>
      </c>
    </row>
    <row r="127" spans="1:17" x14ac:dyDescent="0.25">
      <c r="A127" t="s">
        <v>150</v>
      </c>
      <c r="B127" t="s">
        <v>151</v>
      </c>
      <c r="C127" t="s">
        <v>57</v>
      </c>
      <c r="D127" s="7">
        <v>4.9000000000000004</v>
      </c>
      <c r="E127">
        <v>32274</v>
      </c>
      <c r="F127" t="s">
        <v>10</v>
      </c>
      <c r="G127" s="9" t="s">
        <v>152</v>
      </c>
      <c r="H127" s="10">
        <v>9.4499999999999993</v>
      </c>
      <c r="I127" t="s">
        <v>153</v>
      </c>
      <c r="J127">
        <v>36</v>
      </c>
      <c r="K127" s="6">
        <v>42241</v>
      </c>
      <c r="L127" t="s">
        <v>61</v>
      </c>
      <c r="M127">
        <v>40</v>
      </c>
      <c r="N127">
        <v>70</v>
      </c>
      <c r="O127">
        <v>77</v>
      </c>
      <c r="P127" s="7" t="str">
        <f>IF(Books_DB_F[[#This Row],[Rating F]]&gt;=4.7,"High",IF(Books_DB_F[[#This Row],[Rating F]]&gt;=4.4,"Medium","Low"))</f>
        <v>High</v>
      </c>
      <c r="Q127" s="7" t="str">
        <f>IF(Books_DB_F[[#This Row],[Price F($)]]&gt;48,"Premium",IF(Books_DB_F[[#This Row],[Price F($)]]&gt;25,"Mid","Budget"))</f>
        <v>Budget</v>
      </c>
    </row>
    <row r="128" spans="1:17" x14ac:dyDescent="0.25">
      <c r="A128" t="s">
        <v>308</v>
      </c>
      <c r="B128" t="s">
        <v>309</v>
      </c>
      <c r="C128" t="s">
        <v>9</v>
      </c>
      <c r="D128" s="7">
        <v>4.8</v>
      </c>
      <c r="E128">
        <v>30260</v>
      </c>
      <c r="F128" t="s">
        <v>24</v>
      </c>
      <c r="G128" s="9" t="s">
        <v>310</v>
      </c>
      <c r="H128" s="10">
        <v>9.43</v>
      </c>
      <c r="I128" t="s">
        <v>12</v>
      </c>
      <c r="J128">
        <v>656</v>
      </c>
      <c r="K128" s="6">
        <v>42521</v>
      </c>
      <c r="L128" t="s">
        <v>42</v>
      </c>
      <c r="M128">
        <v>94</v>
      </c>
      <c r="N128">
        <v>76</v>
      </c>
      <c r="O128">
        <v>72</v>
      </c>
      <c r="P128" s="7" t="str">
        <f>IF(Books_DB_F[[#This Row],[Rating F]]&gt;=4.7,"High",IF(Books_DB_F[[#This Row],[Rating F]]&gt;=4.4,"Medium","Low"))</f>
        <v>High</v>
      </c>
      <c r="Q128" s="7" t="str">
        <f>IF(Books_DB_F[[#This Row],[Price F($)]]&gt;48,"Premium",IF(Books_DB_F[[#This Row],[Price F($)]]&gt;25,"Mid","Budget"))</f>
        <v>Budget</v>
      </c>
    </row>
    <row r="129" spans="1:17" x14ac:dyDescent="0.25">
      <c r="A129" t="s">
        <v>478</v>
      </c>
      <c r="B129" t="s">
        <v>100</v>
      </c>
      <c r="C129" t="s">
        <v>15</v>
      </c>
      <c r="D129" s="7">
        <v>4.7</v>
      </c>
      <c r="E129">
        <v>2420</v>
      </c>
      <c r="F129" t="s">
        <v>10</v>
      </c>
      <c r="G129" s="9" t="s">
        <v>479</v>
      </c>
      <c r="H129" s="10">
        <v>9.42</v>
      </c>
      <c r="I129" t="s">
        <v>94</v>
      </c>
      <c r="J129">
        <v>224</v>
      </c>
      <c r="K129" s="6">
        <v>45972</v>
      </c>
      <c r="L129" t="s">
        <v>103</v>
      </c>
      <c r="O129">
        <v>24</v>
      </c>
      <c r="P129" s="7" t="str">
        <f>IF(Books_DB_F[[#This Row],[Rating F]]&gt;=4.7,"High",IF(Books_DB_F[[#This Row],[Rating F]]&gt;=4.4,"Medium","Low"))</f>
        <v>High</v>
      </c>
      <c r="Q129" s="7" t="str">
        <f>IF(Books_DB_F[[#This Row],[Price F($)]]&gt;48,"Premium",IF(Books_DB_F[[#This Row],[Price F($)]]&gt;25,"Mid","Budget"))</f>
        <v>Budget</v>
      </c>
    </row>
    <row r="130" spans="1:17" x14ac:dyDescent="0.25">
      <c r="A130" t="s">
        <v>177</v>
      </c>
      <c r="B130" t="s">
        <v>178</v>
      </c>
      <c r="C130" t="s">
        <v>179</v>
      </c>
      <c r="D130" s="7">
        <v>4.3</v>
      </c>
      <c r="E130">
        <v>113454</v>
      </c>
      <c r="F130" t="s">
        <v>24</v>
      </c>
      <c r="G130" s="9" t="s">
        <v>180</v>
      </c>
      <c r="H130" s="10">
        <v>9.4</v>
      </c>
      <c r="I130" t="s">
        <v>12</v>
      </c>
      <c r="J130">
        <v>448</v>
      </c>
      <c r="K130" s="6">
        <v>44964</v>
      </c>
      <c r="L130" t="s">
        <v>17</v>
      </c>
      <c r="M130">
        <v>49</v>
      </c>
      <c r="P130" s="7" t="str">
        <f>IF(Books_DB_F[[#This Row],[Rating F]]&gt;=4.7,"High",IF(Books_DB_F[[#This Row],[Rating F]]&gt;=4.4,"Medium","Low"))</f>
        <v>Low</v>
      </c>
      <c r="Q130" s="7" t="str">
        <f>IF(Books_DB_F[[#This Row],[Price F($)]]&gt;48,"Premium",IF(Books_DB_F[[#This Row],[Price F($)]]&gt;25,"Mid","Budget"))</f>
        <v>Budget</v>
      </c>
    </row>
    <row r="131" spans="1:17" x14ac:dyDescent="0.25">
      <c r="A131" t="s">
        <v>250</v>
      </c>
      <c r="B131" t="s">
        <v>593</v>
      </c>
      <c r="C131" t="s">
        <v>9</v>
      </c>
      <c r="D131" s="7">
        <v>4.8</v>
      </c>
      <c r="E131">
        <v>25279</v>
      </c>
      <c r="F131" t="s">
        <v>10</v>
      </c>
      <c r="G131" s="9" t="s">
        <v>180</v>
      </c>
      <c r="H131" s="10">
        <v>9.4</v>
      </c>
      <c r="I131" t="s">
        <v>94</v>
      </c>
      <c r="J131">
        <v>208</v>
      </c>
      <c r="K131" s="6">
        <v>43389</v>
      </c>
      <c r="L131" t="s">
        <v>116</v>
      </c>
      <c r="M131">
        <v>74</v>
      </c>
      <c r="N131">
        <v>64</v>
      </c>
      <c r="O131">
        <v>99</v>
      </c>
      <c r="P131" s="7" t="str">
        <f>IF(Books_DB_F[[#This Row],[Rating F]]&gt;=4.7,"High",IF(Books_DB_F[[#This Row],[Rating F]]&gt;=4.4,"Medium","Low"))</f>
        <v>High</v>
      </c>
      <c r="Q131" s="7" t="str">
        <f>IF(Books_DB_F[[#This Row],[Price F($)]]&gt;48,"Premium",IF(Books_DB_F[[#This Row],[Price F($)]]&gt;25,"Mid","Budget"))</f>
        <v>Budget</v>
      </c>
    </row>
    <row r="132" spans="1:17" x14ac:dyDescent="0.25">
      <c r="A132" t="s">
        <v>243</v>
      </c>
      <c r="B132" t="s">
        <v>68</v>
      </c>
      <c r="C132" t="s">
        <v>28</v>
      </c>
      <c r="D132" s="7">
        <v>4.4000000000000004</v>
      </c>
      <c r="E132">
        <v>95715</v>
      </c>
      <c r="F132" t="s">
        <v>24</v>
      </c>
      <c r="G132" s="9" t="s">
        <v>244</v>
      </c>
      <c r="H132" s="10">
        <v>9.33</v>
      </c>
      <c r="I132" t="s">
        <v>12</v>
      </c>
      <c r="J132">
        <v>400</v>
      </c>
      <c r="K132" s="6">
        <v>43865</v>
      </c>
      <c r="L132" t="s">
        <v>17</v>
      </c>
      <c r="M132">
        <v>71</v>
      </c>
      <c r="P132" s="7" t="str">
        <f>IF(Books_DB_F[[#This Row],[Rating F]]&gt;=4.7,"High",IF(Books_DB_F[[#This Row],[Rating F]]&gt;=4.4,"Medium","Low"))</f>
        <v>Medium</v>
      </c>
      <c r="Q132" s="7" t="str">
        <f>IF(Books_DB_F[[#This Row],[Price F($)]]&gt;48,"Premium",IF(Books_DB_F[[#This Row],[Price F($)]]&gt;25,"Mid","Budget"))</f>
        <v>Budget</v>
      </c>
    </row>
    <row r="133" spans="1:17" x14ac:dyDescent="0.25">
      <c r="A133" t="s">
        <v>414</v>
      </c>
      <c r="B133" t="s">
        <v>415</v>
      </c>
      <c r="C133" t="s">
        <v>32</v>
      </c>
      <c r="D133" s="7">
        <v>4.5999999999999996</v>
      </c>
      <c r="E133">
        <v>36122</v>
      </c>
      <c r="F133" t="s">
        <v>10</v>
      </c>
      <c r="G133" s="9" t="s">
        <v>244</v>
      </c>
      <c r="H133" s="10">
        <v>9.33</v>
      </c>
      <c r="I133" t="s">
        <v>12</v>
      </c>
      <c r="J133">
        <v>336</v>
      </c>
      <c r="K133" s="6">
        <v>45650</v>
      </c>
      <c r="L133" t="s">
        <v>13</v>
      </c>
      <c r="N133">
        <v>69</v>
      </c>
      <c r="O133">
        <v>1</v>
      </c>
      <c r="P133" s="7" t="str">
        <f>IF(Books_DB_F[[#This Row],[Rating F]]&gt;=4.7,"High",IF(Books_DB_F[[#This Row],[Rating F]]&gt;=4.4,"Medium","Low"))</f>
        <v>Medium</v>
      </c>
      <c r="Q133" s="7" t="str">
        <f>IF(Books_DB_F[[#This Row],[Price F($)]]&gt;48,"Premium",IF(Books_DB_F[[#This Row],[Price F($)]]&gt;25,"Mid","Budget"))</f>
        <v>Budget</v>
      </c>
    </row>
    <row r="134" spans="1:17" x14ac:dyDescent="0.25">
      <c r="A134" t="s">
        <v>222</v>
      </c>
      <c r="B134" t="s">
        <v>223</v>
      </c>
      <c r="C134" t="s">
        <v>20</v>
      </c>
      <c r="D134" s="7">
        <v>4.5</v>
      </c>
      <c r="E134">
        <v>86622</v>
      </c>
      <c r="F134" t="s">
        <v>24</v>
      </c>
      <c r="G134" s="9" t="s">
        <v>224</v>
      </c>
      <c r="H134" s="10">
        <v>9.25</v>
      </c>
      <c r="I134" t="s">
        <v>12</v>
      </c>
      <c r="J134">
        <v>832</v>
      </c>
      <c r="K134" s="6">
        <v>42395</v>
      </c>
      <c r="L134" t="s">
        <v>17</v>
      </c>
      <c r="M134">
        <v>65</v>
      </c>
      <c r="P134" s="7" t="str">
        <f>IF(Books_DB_F[[#This Row],[Rating F]]&gt;=4.7,"High",IF(Books_DB_F[[#This Row],[Rating F]]&gt;=4.4,"Medium","Low"))</f>
        <v>Medium</v>
      </c>
      <c r="Q134" s="7" t="str">
        <f>IF(Books_DB_F[[#This Row],[Price F($)]]&gt;48,"Premium",IF(Books_DB_F[[#This Row],[Price F($)]]&gt;25,"Mid","Budget"))</f>
        <v>Budget</v>
      </c>
    </row>
    <row r="135" spans="1:17" x14ac:dyDescent="0.25">
      <c r="A135" t="s">
        <v>440</v>
      </c>
      <c r="B135" t="s">
        <v>441</v>
      </c>
      <c r="C135" t="s">
        <v>32</v>
      </c>
      <c r="D135" s="7">
        <v>4.5999999999999996</v>
      </c>
      <c r="E135">
        <v>58611</v>
      </c>
      <c r="F135" t="s">
        <v>24</v>
      </c>
      <c r="G135" s="9" t="s">
        <v>442</v>
      </c>
      <c r="H135" s="10">
        <v>9.0500000000000007</v>
      </c>
      <c r="I135" t="s">
        <v>439</v>
      </c>
      <c r="J135">
        <v>249</v>
      </c>
      <c r="K135" s="6">
        <v>40918</v>
      </c>
      <c r="L135" t="s">
        <v>37</v>
      </c>
      <c r="N135">
        <v>84</v>
      </c>
      <c r="O135">
        <v>39</v>
      </c>
      <c r="P135" s="7" t="str">
        <f>IF(Books_DB_F[[#This Row],[Rating F]]&gt;=4.7,"High",IF(Books_DB_F[[#This Row],[Rating F]]&gt;=4.4,"Medium","Low"))</f>
        <v>Medium</v>
      </c>
      <c r="Q135" s="7" t="str">
        <f>IF(Books_DB_F[[#This Row],[Price F($)]]&gt;48,"Premium",IF(Books_DB_F[[#This Row],[Price F($)]]&gt;25,"Mid","Budget"))</f>
        <v>Budget</v>
      </c>
    </row>
    <row r="136" spans="1:17" x14ac:dyDescent="0.25">
      <c r="A136" t="s">
        <v>49</v>
      </c>
      <c r="B136" t="s">
        <v>44</v>
      </c>
      <c r="C136" t="s">
        <v>15</v>
      </c>
      <c r="D136" s="7">
        <v>4.7</v>
      </c>
      <c r="E136">
        <v>405311</v>
      </c>
      <c r="F136" t="s">
        <v>24</v>
      </c>
      <c r="G136" s="9" t="s">
        <v>50</v>
      </c>
      <c r="H136" s="10">
        <v>9.0299999999999994</v>
      </c>
      <c r="I136" t="s">
        <v>12</v>
      </c>
      <c r="J136">
        <v>384</v>
      </c>
      <c r="K136" s="6">
        <v>42584</v>
      </c>
      <c r="L136" t="s">
        <v>17</v>
      </c>
      <c r="M136">
        <v>11</v>
      </c>
      <c r="N136">
        <v>9</v>
      </c>
      <c r="P136" s="7" t="str">
        <f>IF(Books_DB_F[[#This Row],[Rating F]]&gt;=4.7,"High",IF(Books_DB_F[[#This Row],[Rating F]]&gt;=4.4,"Medium","Low"))</f>
        <v>High</v>
      </c>
      <c r="Q136" s="7" t="str">
        <f>IF(Books_DB_F[[#This Row],[Price F($)]]&gt;48,"Premium",IF(Books_DB_F[[#This Row],[Price F($)]]&gt;25,"Mid","Budget"))</f>
        <v>Budget</v>
      </c>
    </row>
    <row r="137" spans="1:17" x14ac:dyDescent="0.25">
      <c r="A137" t="s">
        <v>183</v>
      </c>
      <c r="B137" t="s">
        <v>44</v>
      </c>
      <c r="C137" t="s">
        <v>15</v>
      </c>
      <c r="D137" s="7">
        <v>4.7</v>
      </c>
      <c r="E137">
        <v>347742</v>
      </c>
      <c r="F137" t="s">
        <v>24</v>
      </c>
      <c r="G137" s="9" t="s">
        <v>50</v>
      </c>
      <c r="H137" s="10">
        <v>9.0299999999999994</v>
      </c>
      <c r="I137" t="s">
        <v>12</v>
      </c>
      <c r="J137">
        <v>335</v>
      </c>
      <c r="K137" s="6">
        <v>44579</v>
      </c>
      <c r="L137" t="s">
        <v>17</v>
      </c>
      <c r="M137">
        <v>51</v>
      </c>
      <c r="P137" s="7" t="str">
        <f>IF(Books_DB_F[[#This Row],[Rating F]]&gt;=4.7,"High",IF(Books_DB_F[[#This Row],[Rating F]]&gt;=4.4,"Medium","Low"))</f>
        <v>High</v>
      </c>
      <c r="Q137" s="7" t="str">
        <f>IF(Books_DB_F[[#This Row],[Price F($)]]&gt;48,"Premium",IF(Books_DB_F[[#This Row],[Price F($)]]&gt;25,"Mid","Budget"))</f>
        <v>Budget</v>
      </c>
    </row>
    <row r="138" spans="1:17" x14ac:dyDescent="0.25">
      <c r="A138" t="s">
        <v>202</v>
      </c>
      <c r="B138" t="s">
        <v>44</v>
      </c>
      <c r="C138" t="s">
        <v>32</v>
      </c>
      <c r="D138" s="7">
        <v>4.5999999999999996</v>
      </c>
      <c r="E138">
        <v>165631</v>
      </c>
      <c r="F138" t="s">
        <v>24</v>
      </c>
      <c r="G138" s="9" t="s">
        <v>203</v>
      </c>
      <c r="H138" s="10">
        <v>8.91</v>
      </c>
      <c r="I138" t="s">
        <v>12</v>
      </c>
      <c r="J138">
        <v>336</v>
      </c>
      <c r="K138" s="6">
        <v>41856</v>
      </c>
      <c r="L138" t="s">
        <v>17</v>
      </c>
      <c r="M138">
        <v>58</v>
      </c>
      <c r="P138" s="7" t="str">
        <f>IF(Books_DB_F[[#This Row],[Rating F]]&gt;=4.7,"High",IF(Books_DB_F[[#This Row],[Rating F]]&gt;=4.4,"Medium","Low"))</f>
        <v>Medium</v>
      </c>
      <c r="Q138" s="7" t="str">
        <f>IF(Books_DB_F[[#This Row],[Price F($)]]&gt;48,"Premium",IF(Books_DB_F[[#This Row],[Price F($)]]&gt;25,"Mid","Budget"))</f>
        <v>Budget</v>
      </c>
    </row>
    <row r="139" spans="1:17" x14ac:dyDescent="0.25">
      <c r="A139" t="s">
        <v>558</v>
      </c>
      <c r="B139" t="s">
        <v>559</v>
      </c>
      <c r="C139" t="s">
        <v>9</v>
      </c>
      <c r="D139" s="7">
        <v>4.8</v>
      </c>
      <c r="E139">
        <v>3576</v>
      </c>
      <c r="F139" t="s">
        <v>10</v>
      </c>
      <c r="G139" s="9" t="s">
        <v>203</v>
      </c>
      <c r="H139" s="10">
        <v>8.91</v>
      </c>
      <c r="I139" t="s">
        <v>174</v>
      </c>
      <c r="J139">
        <v>32</v>
      </c>
      <c r="K139" s="6">
        <v>42633</v>
      </c>
      <c r="L139" t="s">
        <v>61</v>
      </c>
      <c r="O139">
        <v>90</v>
      </c>
      <c r="P139" s="7" t="str">
        <f>IF(Books_DB_F[[#This Row],[Rating F]]&gt;=4.7,"High",IF(Books_DB_F[[#This Row],[Rating F]]&gt;=4.4,"Medium","Low"))</f>
        <v>High</v>
      </c>
      <c r="Q139" s="7" t="str">
        <f>IF(Books_DB_F[[#This Row],[Price F($)]]&gt;48,"Premium",IF(Books_DB_F[[#This Row],[Price F($)]]&gt;25,"Mid","Budget"))</f>
        <v>Budget</v>
      </c>
    </row>
    <row r="140" spans="1:17" x14ac:dyDescent="0.25">
      <c r="A140" t="s">
        <v>338</v>
      </c>
      <c r="B140" t="s">
        <v>339</v>
      </c>
      <c r="C140" t="s">
        <v>15</v>
      </c>
      <c r="D140" s="7">
        <v>4.7</v>
      </c>
      <c r="E140">
        <v>13431</v>
      </c>
      <c r="F140" t="s">
        <v>24</v>
      </c>
      <c r="G140" s="9" t="s">
        <v>340</v>
      </c>
      <c r="H140" s="10">
        <v>8.7899999999999991</v>
      </c>
      <c r="I140" t="s">
        <v>12</v>
      </c>
      <c r="J140">
        <v>110</v>
      </c>
      <c r="K140" s="6">
        <v>43612</v>
      </c>
      <c r="L140" t="s">
        <v>77</v>
      </c>
      <c r="N140">
        <v>7</v>
      </c>
      <c r="P140" s="7" t="str">
        <f>IF(Books_DB_F[[#This Row],[Rating F]]&gt;=4.7,"High",IF(Books_DB_F[[#This Row],[Rating F]]&gt;=4.4,"Medium","Low"))</f>
        <v>High</v>
      </c>
      <c r="Q140" s="7" t="str">
        <f>IF(Books_DB_F[[#This Row],[Price F($)]]&gt;48,"Premium",IF(Books_DB_F[[#This Row],[Price F($)]]&gt;25,"Mid","Budget"))</f>
        <v>Budget</v>
      </c>
    </row>
    <row r="141" spans="1:17" x14ac:dyDescent="0.25">
      <c r="A141" t="s">
        <v>516</v>
      </c>
      <c r="B141" t="s">
        <v>517</v>
      </c>
      <c r="C141" t="s">
        <v>15</v>
      </c>
      <c r="D141" s="7">
        <v>4.7</v>
      </c>
      <c r="E141">
        <v>2668</v>
      </c>
      <c r="F141" t="s">
        <v>58</v>
      </c>
      <c r="G141" s="9" t="s">
        <v>518</v>
      </c>
      <c r="H141" s="10">
        <v>8.77</v>
      </c>
      <c r="I141" t="s">
        <v>130</v>
      </c>
      <c r="J141">
        <v>32</v>
      </c>
      <c r="K141" s="6">
        <v>45664</v>
      </c>
      <c r="L141" t="s">
        <v>239</v>
      </c>
      <c r="O141">
        <v>56</v>
      </c>
      <c r="P141" s="7" t="str">
        <f>IF(Books_DB_F[[#This Row],[Rating F]]&gt;=4.7,"High",IF(Books_DB_F[[#This Row],[Rating F]]&gt;=4.4,"Medium","Low"))</f>
        <v>High</v>
      </c>
      <c r="Q141" s="7" t="str">
        <f>IF(Books_DB_F[[#This Row],[Price F($)]]&gt;48,"Premium",IF(Books_DB_F[[#This Row],[Price F($)]]&gt;25,"Mid","Budget"))</f>
        <v>Budget</v>
      </c>
    </row>
    <row r="142" spans="1:17" x14ac:dyDescent="0.25">
      <c r="A142" t="s">
        <v>131</v>
      </c>
      <c r="B142" t="s">
        <v>132</v>
      </c>
      <c r="C142" t="s">
        <v>57</v>
      </c>
      <c r="D142" s="7">
        <v>4.9000000000000004</v>
      </c>
      <c r="E142">
        <v>53602</v>
      </c>
      <c r="F142" t="s">
        <v>10</v>
      </c>
      <c r="G142" s="9" t="s">
        <v>133</v>
      </c>
      <c r="H142" s="10">
        <v>8.64</v>
      </c>
      <c r="I142" t="s">
        <v>153</v>
      </c>
      <c r="J142">
        <v>56</v>
      </c>
      <c r="K142" s="6">
        <v>32895</v>
      </c>
      <c r="L142" t="s">
        <v>61</v>
      </c>
      <c r="M142">
        <v>34</v>
      </c>
      <c r="N142">
        <v>41</v>
      </c>
      <c r="P142" s="7" t="str">
        <f>IF(Books_DB_F[[#This Row],[Rating F]]&gt;=4.7,"High",IF(Books_DB_F[[#This Row],[Rating F]]&gt;=4.4,"Medium","Low"))</f>
        <v>High</v>
      </c>
      <c r="Q142" s="7" t="str">
        <f>IF(Books_DB_F[[#This Row],[Price F($)]]&gt;48,"Premium",IF(Books_DB_F[[#This Row],[Price F($)]]&gt;25,"Mid","Budget"))</f>
        <v>Budget</v>
      </c>
    </row>
    <row r="143" spans="1:17" x14ac:dyDescent="0.25">
      <c r="A143" t="s">
        <v>347</v>
      </c>
      <c r="B143" t="s">
        <v>100</v>
      </c>
      <c r="C143" t="s">
        <v>9</v>
      </c>
      <c r="D143" s="7">
        <v>4.8</v>
      </c>
      <c r="E143">
        <v>10416</v>
      </c>
      <c r="F143" t="s">
        <v>10</v>
      </c>
      <c r="G143" s="9" t="s">
        <v>348</v>
      </c>
      <c r="H143" s="10">
        <v>8.3800000000000008</v>
      </c>
      <c r="I143" t="s">
        <v>102</v>
      </c>
      <c r="J143">
        <v>224</v>
      </c>
      <c r="K143" s="6">
        <v>45370</v>
      </c>
      <c r="L143" t="s">
        <v>103</v>
      </c>
      <c r="N143">
        <v>14</v>
      </c>
      <c r="P143" s="7" t="str">
        <f>IF(Books_DB_F[[#This Row],[Rating F]]&gt;=4.7,"High",IF(Books_DB_F[[#This Row],[Rating F]]&gt;=4.4,"Medium","Low"))</f>
        <v>High</v>
      </c>
      <c r="Q143" s="7" t="str">
        <f>IF(Books_DB_F[[#This Row],[Price F($)]]&gt;48,"Premium",IF(Books_DB_F[[#This Row],[Price F($)]]&gt;25,"Mid","Budget"))</f>
        <v>Budget</v>
      </c>
    </row>
    <row r="144" spans="1:17" x14ac:dyDescent="0.25">
      <c r="A144" t="s">
        <v>240</v>
      </c>
      <c r="B144" t="s">
        <v>241</v>
      </c>
      <c r="C144" t="s">
        <v>9</v>
      </c>
      <c r="D144" s="7">
        <v>4.8</v>
      </c>
      <c r="E144">
        <v>29360</v>
      </c>
      <c r="F144" t="s">
        <v>24</v>
      </c>
      <c r="G144" s="9" t="s">
        <v>242</v>
      </c>
      <c r="H144" s="10">
        <v>8.24</v>
      </c>
      <c r="I144" t="s">
        <v>12</v>
      </c>
      <c r="J144">
        <v>320</v>
      </c>
      <c r="K144" s="6">
        <v>39431</v>
      </c>
      <c r="L144" t="s">
        <v>127</v>
      </c>
      <c r="M144">
        <v>70</v>
      </c>
      <c r="P144" s="7" t="str">
        <f>IF(Books_DB_F[[#This Row],[Rating F]]&gt;=4.7,"High",IF(Books_DB_F[[#This Row],[Rating F]]&gt;=4.4,"Medium","Low"))</f>
        <v>High</v>
      </c>
      <c r="Q144" s="7" t="str">
        <f>IF(Books_DB_F[[#This Row],[Price F($)]]&gt;48,"Premium",IF(Books_DB_F[[#This Row],[Price F($)]]&gt;25,"Mid","Budget"))</f>
        <v>Budget</v>
      </c>
    </row>
    <row r="145" spans="1:17" x14ac:dyDescent="0.25">
      <c r="A145" t="s">
        <v>225</v>
      </c>
      <c r="B145" t="s">
        <v>226</v>
      </c>
      <c r="C145" t="s">
        <v>9</v>
      </c>
      <c r="D145" s="7">
        <v>4.8</v>
      </c>
      <c r="E145">
        <v>18227</v>
      </c>
      <c r="F145" t="s">
        <v>24</v>
      </c>
      <c r="G145" s="9" t="s">
        <v>227</v>
      </c>
      <c r="H145" s="10">
        <v>8.18</v>
      </c>
      <c r="I145" t="s">
        <v>12</v>
      </c>
      <c r="J145">
        <v>272</v>
      </c>
      <c r="K145" s="6">
        <v>37747</v>
      </c>
      <c r="L145" t="s">
        <v>37</v>
      </c>
      <c r="M145">
        <v>66</v>
      </c>
      <c r="P145" s="7" t="str">
        <f>IF(Books_DB_F[[#This Row],[Rating F]]&gt;=4.7,"High",IF(Books_DB_F[[#This Row],[Rating F]]&gt;=4.4,"Medium","Low"))</f>
        <v>High</v>
      </c>
      <c r="Q145" s="7" t="str">
        <f>IF(Books_DB_F[[#This Row],[Price F($)]]&gt;48,"Premium",IF(Books_DB_F[[#This Row],[Price F($)]]&gt;25,"Mid","Budget"))</f>
        <v>Budget</v>
      </c>
    </row>
    <row r="146" spans="1:17" x14ac:dyDescent="0.25">
      <c r="A146" t="s">
        <v>328</v>
      </c>
      <c r="B146" t="s">
        <v>14</v>
      </c>
      <c r="C146" t="s">
        <v>32</v>
      </c>
      <c r="D146" s="7">
        <v>4.5999999999999996</v>
      </c>
      <c r="E146">
        <v>283105</v>
      </c>
      <c r="F146" t="s">
        <v>10</v>
      </c>
      <c r="G146" s="9" t="s">
        <v>329</v>
      </c>
      <c r="H146" s="10">
        <v>8.0299999999999994</v>
      </c>
      <c r="I146" t="s">
        <v>12</v>
      </c>
      <c r="J146">
        <v>566</v>
      </c>
      <c r="K146" s="6">
        <v>45678</v>
      </c>
      <c r="L146" t="s">
        <v>17</v>
      </c>
      <c r="N146">
        <v>2</v>
      </c>
      <c r="O146">
        <v>18</v>
      </c>
      <c r="P146" s="7" t="str">
        <f>IF(Books_DB_F[[#This Row],[Rating F]]&gt;=4.7,"High",IF(Books_DB_F[[#This Row],[Rating F]]&gt;=4.4,"Medium","Low"))</f>
        <v>Medium</v>
      </c>
      <c r="Q146" s="7" t="str">
        <f>IF(Books_DB_F[[#This Row],[Price F($)]]&gt;48,"Premium",IF(Books_DB_F[[#This Row],[Price F($)]]&gt;25,"Mid","Budget"))</f>
        <v>Budget</v>
      </c>
    </row>
    <row r="147" spans="1:17" x14ac:dyDescent="0.25">
      <c r="A147" t="s">
        <v>506</v>
      </c>
      <c r="B147" t="s">
        <v>507</v>
      </c>
      <c r="C147" t="s">
        <v>15</v>
      </c>
      <c r="D147" s="7">
        <v>4.7</v>
      </c>
      <c r="E147">
        <v>41584</v>
      </c>
      <c r="F147" t="s">
        <v>24</v>
      </c>
      <c r="G147" s="9" t="s">
        <v>508</v>
      </c>
      <c r="H147" s="10">
        <v>7.96</v>
      </c>
      <c r="I147" t="s">
        <v>12</v>
      </c>
      <c r="J147">
        <v>32</v>
      </c>
      <c r="K147" s="6">
        <v>42465</v>
      </c>
      <c r="L147" t="s">
        <v>123</v>
      </c>
      <c r="O147">
        <v>50</v>
      </c>
      <c r="P147" s="7" t="str">
        <f>IF(Books_DB_F[[#This Row],[Rating F]]&gt;=4.7,"High",IF(Books_DB_F[[#This Row],[Rating F]]&gt;=4.4,"Medium","Low"))</f>
        <v>High</v>
      </c>
      <c r="Q147" s="7" t="str">
        <f>IF(Books_DB_F[[#This Row],[Price F($)]]&gt;48,"Premium",IF(Books_DB_F[[#This Row],[Price F($)]]&gt;25,"Mid","Budget"))</f>
        <v>Budget</v>
      </c>
    </row>
    <row r="148" spans="1:17" x14ac:dyDescent="0.25">
      <c r="A148" t="s">
        <v>124</v>
      </c>
      <c r="B148" t="s">
        <v>125</v>
      </c>
      <c r="C148" t="s">
        <v>15</v>
      </c>
      <c r="D148" s="7">
        <v>4.7</v>
      </c>
      <c r="E148">
        <v>106198</v>
      </c>
      <c r="F148" t="s">
        <v>24</v>
      </c>
      <c r="G148" s="9" t="s">
        <v>126</v>
      </c>
      <c r="H148" s="10">
        <v>7.34</v>
      </c>
      <c r="I148" t="s">
        <v>12</v>
      </c>
      <c r="J148">
        <v>336</v>
      </c>
      <c r="K148" s="6">
        <v>44656</v>
      </c>
      <c r="L148" t="s">
        <v>127</v>
      </c>
      <c r="M148">
        <v>32</v>
      </c>
      <c r="P148" s="7" t="str">
        <f>IF(Books_DB_F[[#This Row],[Rating F]]&gt;=4.7,"High",IF(Books_DB_F[[#This Row],[Rating F]]&gt;=4.4,"Medium","Low"))</f>
        <v>High</v>
      </c>
      <c r="Q148" s="7" t="str">
        <f>IF(Books_DB_F[[#This Row],[Price F($)]]&gt;48,"Premium",IF(Books_DB_F[[#This Row],[Price F($)]]&gt;25,"Mid","Budget"))</f>
        <v>Budget</v>
      </c>
    </row>
    <row r="149" spans="1:17" x14ac:dyDescent="0.25">
      <c r="A149" t="s">
        <v>311</v>
      </c>
      <c r="B149" t="s">
        <v>312</v>
      </c>
      <c r="C149" t="s">
        <v>179</v>
      </c>
      <c r="D149" s="7">
        <v>4.3</v>
      </c>
      <c r="E149">
        <v>168512</v>
      </c>
      <c r="F149" t="s">
        <v>24</v>
      </c>
      <c r="G149" s="9" t="s">
        <v>313</v>
      </c>
      <c r="H149" s="10">
        <v>7.16</v>
      </c>
      <c r="I149" t="s">
        <v>12</v>
      </c>
      <c r="J149">
        <v>336</v>
      </c>
      <c r="K149" s="6">
        <v>45006</v>
      </c>
      <c r="L149" t="s">
        <v>17</v>
      </c>
      <c r="M149">
        <v>95</v>
      </c>
      <c r="P149" s="7" t="str">
        <f>IF(Books_DB_F[[#This Row],[Rating F]]&gt;=4.7,"High",IF(Books_DB_F[[#This Row],[Rating F]]&gt;=4.4,"Medium","Low"))</f>
        <v>Low</v>
      </c>
      <c r="Q149" s="7" t="str">
        <f>IF(Books_DB_F[[#This Row],[Price F($)]]&gt;48,"Premium",IF(Books_DB_F[[#This Row],[Price F($)]]&gt;25,"Mid","Budget"))</f>
        <v>Budget</v>
      </c>
    </row>
    <row r="150" spans="1:17" x14ac:dyDescent="0.25">
      <c r="A150" t="s">
        <v>382</v>
      </c>
      <c r="B150" t="s">
        <v>590</v>
      </c>
      <c r="C150" t="s">
        <v>15</v>
      </c>
      <c r="D150" s="7">
        <v>4.7</v>
      </c>
      <c r="E150">
        <v>303204</v>
      </c>
      <c r="F150" t="s">
        <v>24</v>
      </c>
      <c r="G150" s="9" t="s">
        <v>383</v>
      </c>
      <c r="H150" s="10">
        <v>7.15</v>
      </c>
      <c r="I150" t="s">
        <v>12</v>
      </c>
      <c r="J150">
        <v>304</v>
      </c>
      <c r="K150" s="6">
        <v>45265</v>
      </c>
      <c r="L150" t="s">
        <v>54</v>
      </c>
      <c r="N150">
        <v>51</v>
      </c>
      <c r="P150" s="7" t="str">
        <f>IF(Books_DB_F[[#This Row],[Rating F]]&gt;=4.7,"High",IF(Books_DB_F[[#This Row],[Rating F]]&gt;=4.4,"Medium","Low"))</f>
        <v>High</v>
      </c>
      <c r="Q150" s="7" t="str">
        <f>IF(Books_DB_F[[#This Row],[Price F($)]]&gt;48,"Premium",IF(Books_DB_F[[#This Row],[Price F($)]]&gt;25,"Mid","Budget"))</f>
        <v>Budget</v>
      </c>
    </row>
    <row r="151" spans="1:17" x14ac:dyDescent="0.25">
      <c r="A151" t="s">
        <v>78</v>
      </c>
      <c r="B151" t="s">
        <v>79</v>
      </c>
      <c r="C151" t="s">
        <v>15</v>
      </c>
      <c r="D151" s="7">
        <v>4.7</v>
      </c>
      <c r="E151">
        <v>119661</v>
      </c>
      <c r="F151" t="s">
        <v>24</v>
      </c>
      <c r="G151" s="9" t="s">
        <v>80</v>
      </c>
      <c r="H151" s="10">
        <v>7.05</v>
      </c>
      <c r="I151" t="s">
        <v>12</v>
      </c>
      <c r="J151">
        <v>160</v>
      </c>
      <c r="K151" s="6">
        <v>35741</v>
      </c>
      <c r="L151" t="s">
        <v>13</v>
      </c>
      <c r="M151">
        <v>19</v>
      </c>
      <c r="N151">
        <v>29</v>
      </c>
      <c r="O151">
        <v>47</v>
      </c>
      <c r="P151" s="7" t="str">
        <f>IF(Books_DB_F[[#This Row],[Rating F]]&gt;=4.7,"High",IF(Books_DB_F[[#This Row],[Rating F]]&gt;=4.4,"Medium","Low"))</f>
        <v>High</v>
      </c>
      <c r="Q151" s="7" t="str">
        <f>IF(Books_DB_F[[#This Row],[Price F($)]]&gt;48,"Premium",IF(Books_DB_F[[#This Row],[Price F($)]]&gt;25,"Mid","Budget"))</f>
        <v>Budget</v>
      </c>
    </row>
    <row r="152" spans="1:17" x14ac:dyDescent="0.25">
      <c r="A152" t="s">
        <v>67</v>
      </c>
      <c r="B152" t="s">
        <v>68</v>
      </c>
      <c r="C152" t="s">
        <v>32</v>
      </c>
      <c r="D152" s="7">
        <v>4.5999999999999996</v>
      </c>
      <c r="E152">
        <v>270507</v>
      </c>
      <c r="F152" t="s">
        <v>24</v>
      </c>
      <c r="G152" s="9" t="s">
        <v>69</v>
      </c>
      <c r="H152" s="10">
        <v>6.91</v>
      </c>
      <c r="I152" t="s">
        <v>12</v>
      </c>
      <c r="J152">
        <v>400</v>
      </c>
      <c r="K152" s="6">
        <v>43249</v>
      </c>
      <c r="L152" t="s">
        <v>17</v>
      </c>
      <c r="M152">
        <v>16</v>
      </c>
      <c r="N152">
        <v>73</v>
      </c>
      <c r="P152" s="7" t="str">
        <f>IF(Books_DB_F[[#This Row],[Rating F]]&gt;=4.7,"High",IF(Books_DB_F[[#This Row],[Rating F]]&gt;=4.4,"Medium","Low"))</f>
        <v>Medium</v>
      </c>
      <c r="Q152" s="7" t="str">
        <f>IF(Books_DB_F[[#This Row],[Price F($)]]&gt;48,"Premium",IF(Books_DB_F[[#This Row],[Price F($)]]&gt;25,"Mid","Budget"))</f>
        <v>Budget</v>
      </c>
    </row>
    <row r="153" spans="1:17" x14ac:dyDescent="0.25">
      <c r="A153" t="s">
        <v>138</v>
      </c>
      <c r="B153" t="s">
        <v>139</v>
      </c>
      <c r="C153" t="s">
        <v>140</v>
      </c>
      <c r="D153" s="7">
        <v>4.2</v>
      </c>
      <c r="E153">
        <v>60754</v>
      </c>
      <c r="F153" t="s">
        <v>24</v>
      </c>
      <c r="G153" s="9" t="s">
        <v>141</v>
      </c>
      <c r="H153" s="10">
        <v>6.88</v>
      </c>
      <c r="I153" t="s">
        <v>12</v>
      </c>
      <c r="J153">
        <v>400</v>
      </c>
      <c r="K153" s="6">
        <v>43770</v>
      </c>
      <c r="L153" t="s">
        <v>17</v>
      </c>
      <c r="M153">
        <v>36</v>
      </c>
      <c r="N153">
        <v>79</v>
      </c>
      <c r="P153" s="7" t="str">
        <f>IF(Books_DB_F[[#This Row],[Rating F]]&gt;=4.7,"High",IF(Books_DB_F[[#This Row],[Rating F]]&gt;=4.4,"Medium","Low"))</f>
        <v>Low</v>
      </c>
      <c r="Q153" s="7" t="str">
        <f>IF(Books_DB_F[[#This Row],[Price F($)]]&gt;48,"Premium",IF(Books_DB_F[[#This Row],[Price F($)]]&gt;25,"Mid","Budget"))</f>
        <v>Budget</v>
      </c>
    </row>
    <row r="154" spans="1:17" x14ac:dyDescent="0.25">
      <c r="A154" t="s">
        <v>449</v>
      </c>
      <c r="B154" t="s">
        <v>450</v>
      </c>
      <c r="C154" t="s">
        <v>15</v>
      </c>
      <c r="D154" s="7">
        <v>4.7</v>
      </c>
      <c r="E154">
        <v>8907</v>
      </c>
      <c r="F154" t="s">
        <v>24</v>
      </c>
      <c r="G154" s="9" t="s">
        <v>451</v>
      </c>
      <c r="H154" s="10">
        <v>6.7</v>
      </c>
      <c r="I154" t="s">
        <v>355</v>
      </c>
      <c r="J154">
        <v>144</v>
      </c>
      <c r="K154" s="6">
        <v>44264</v>
      </c>
      <c r="L154" t="s">
        <v>77</v>
      </c>
      <c r="N154">
        <v>88</v>
      </c>
      <c r="P154" s="7" t="str">
        <f>IF(Books_DB_F[[#This Row],[Rating F]]&gt;=4.7,"High",IF(Books_DB_F[[#This Row],[Rating F]]&gt;=4.4,"Medium","Low"))</f>
        <v>High</v>
      </c>
      <c r="Q154" s="7" t="str">
        <f>IF(Books_DB_F[[#This Row],[Price F($)]]&gt;48,"Premium",IF(Books_DB_F[[#This Row],[Price F($)]]&gt;25,"Mid","Budget"))</f>
        <v>Budget</v>
      </c>
    </row>
    <row r="155" spans="1:17" x14ac:dyDescent="0.25">
      <c r="A155" t="s">
        <v>515</v>
      </c>
      <c r="B155" t="s">
        <v>450</v>
      </c>
      <c r="C155" t="s">
        <v>15</v>
      </c>
      <c r="D155" s="7">
        <v>4.7</v>
      </c>
      <c r="E155">
        <v>8896</v>
      </c>
      <c r="F155" t="s">
        <v>24</v>
      </c>
      <c r="G155" s="9" t="s">
        <v>451</v>
      </c>
      <c r="H155" s="10">
        <v>6.7</v>
      </c>
      <c r="I155" t="s">
        <v>355</v>
      </c>
      <c r="J155">
        <v>144</v>
      </c>
      <c r="K155" s="6">
        <v>44264</v>
      </c>
      <c r="L155" t="s">
        <v>77</v>
      </c>
      <c r="O155">
        <v>55</v>
      </c>
      <c r="P155" s="7" t="str">
        <f>IF(Books_DB_F[[#This Row],[Rating F]]&gt;=4.7,"High",IF(Books_DB_F[[#This Row],[Rating F]]&gt;=4.4,"Medium","Low"))</f>
        <v>High</v>
      </c>
      <c r="Q155" s="7" t="str">
        <f>IF(Books_DB_F[[#This Row],[Price F($)]]&gt;48,"Premium",IF(Books_DB_F[[#This Row],[Price F($)]]&gt;25,"Mid","Budget"))</f>
        <v>Budget</v>
      </c>
    </row>
    <row r="156" spans="1:17" x14ac:dyDescent="0.25">
      <c r="A156" t="s">
        <v>524</v>
      </c>
      <c r="B156" t="s">
        <v>444</v>
      </c>
      <c r="C156" t="s">
        <v>32</v>
      </c>
      <c r="D156" s="7">
        <v>4.5999999999999996</v>
      </c>
      <c r="E156">
        <v>92537</v>
      </c>
      <c r="F156" t="s">
        <v>24</v>
      </c>
      <c r="G156" s="9" t="s">
        <v>525</v>
      </c>
      <c r="H156" s="10">
        <v>6.49</v>
      </c>
      <c r="I156" t="s">
        <v>365</v>
      </c>
      <c r="J156">
        <v>140</v>
      </c>
      <c r="K156" s="6">
        <v>38083</v>
      </c>
      <c r="L156" t="s">
        <v>37</v>
      </c>
      <c r="O156">
        <v>63</v>
      </c>
      <c r="P156" s="7" t="str">
        <f>IF(Books_DB_F[[#This Row],[Rating F]]&gt;=4.7,"High",IF(Books_DB_F[[#This Row],[Rating F]]&gt;=4.4,"Medium","Low"))</f>
        <v>Medium</v>
      </c>
      <c r="Q156" s="7" t="str">
        <f>IF(Books_DB_F[[#This Row],[Price F($)]]&gt;48,"Premium",IF(Books_DB_F[[#This Row],[Price F($)]]&gt;25,"Mid","Budget"))</f>
        <v>Budget</v>
      </c>
    </row>
    <row r="157" spans="1:17" x14ac:dyDescent="0.25">
      <c r="A157" t="s">
        <v>502</v>
      </c>
      <c r="B157" t="s">
        <v>503</v>
      </c>
      <c r="C157" t="s">
        <v>15</v>
      </c>
      <c r="D157" s="7">
        <v>4.7</v>
      </c>
      <c r="E157">
        <v>6749</v>
      </c>
      <c r="F157" t="s">
        <v>504</v>
      </c>
      <c r="G157" s="9" t="s">
        <v>505</v>
      </c>
      <c r="H157" s="10">
        <v>6.42</v>
      </c>
      <c r="I157" t="s">
        <v>102</v>
      </c>
      <c r="J157">
        <v>64</v>
      </c>
      <c r="K157" s="6">
        <v>44164</v>
      </c>
      <c r="L157" t="s">
        <v>77</v>
      </c>
      <c r="O157">
        <v>49</v>
      </c>
      <c r="P157" s="7" t="str">
        <f>IF(Books_DB_F[[#This Row],[Rating F]]&gt;=4.7,"High",IF(Books_DB_F[[#This Row],[Rating F]]&gt;=4.4,"Medium","Low"))</f>
        <v>High</v>
      </c>
      <c r="Q157" s="7" t="str">
        <f>IF(Books_DB_F[[#This Row],[Price F($)]]&gt;48,"Premium",IF(Books_DB_F[[#This Row],[Price F($)]]&gt;25,"Mid","Budget"))</f>
        <v>Budget</v>
      </c>
    </row>
    <row r="158" spans="1:17" x14ac:dyDescent="0.25">
      <c r="A158" t="s">
        <v>437</v>
      </c>
      <c r="B158" t="s">
        <v>139</v>
      </c>
      <c r="C158" t="s">
        <v>179</v>
      </c>
      <c r="D158" s="7">
        <v>4.3</v>
      </c>
      <c r="E158">
        <v>14292</v>
      </c>
      <c r="F158" t="s">
        <v>24</v>
      </c>
      <c r="G158" s="9" t="s">
        <v>438</v>
      </c>
      <c r="H158" s="10">
        <v>6.34</v>
      </c>
      <c r="I158" t="s">
        <v>439</v>
      </c>
      <c r="J158">
        <v>416</v>
      </c>
      <c r="K158" s="6">
        <v>45328</v>
      </c>
      <c r="L158" t="s">
        <v>17</v>
      </c>
      <c r="N158">
        <v>83</v>
      </c>
      <c r="P158" s="7" t="str">
        <f>IF(Books_DB_F[[#This Row],[Rating F]]&gt;=4.7,"High",IF(Books_DB_F[[#This Row],[Rating F]]&gt;=4.4,"Medium","Low"))</f>
        <v>Low</v>
      </c>
      <c r="Q158" s="7" t="str">
        <f>IF(Books_DB_F[[#This Row],[Price F($)]]&gt;48,"Premium",IF(Books_DB_F[[#This Row],[Price F($)]]&gt;25,"Mid","Budget"))</f>
        <v>Budget</v>
      </c>
    </row>
    <row r="159" spans="1:17" x14ac:dyDescent="0.25">
      <c r="A159" t="s">
        <v>443</v>
      </c>
      <c r="B159" t="s">
        <v>444</v>
      </c>
      <c r="C159" t="s">
        <v>32</v>
      </c>
      <c r="D159" s="7">
        <v>4.5999999999999996</v>
      </c>
      <c r="E159">
        <v>122245</v>
      </c>
      <c r="F159" t="s">
        <v>24</v>
      </c>
      <c r="G159" s="9" t="s">
        <v>445</v>
      </c>
      <c r="H159" s="10">
        <v>5.99</v>
      </c>
      <c r="I159" t="s">
        <v>362</v>
      </c>
      <c r="J159">
        <v>328</v>
      </c>
      <c r="K159" s="6">
        <v>22282</v>
      </c>
      <c r="L159" t="s">
        <v>37</v>
      </c>
      <c r="N159">
        <v>85</v>
      </c>
      <c r="O159">
        <v>57</v>
      </c>
      <c r="P159" s="7" t="str">
        <f>IF(Books_DB_F[[#This Row],[Rating F]]&gt;=4.7,"High",IF(Books_DB_F[[#This Row],[Rating F]]&gt;=4.4,"Medium","Low"))</f>
        <v>Medium</v>
      </c>
      <c r="Q159" s="7" t="str">
        <f>IF(Books_DB_F[[#This Row],[Price F($)]]&gt;48,"Premium",IF(Books_DB_F[[#This Row],[Price F($)]]&gt;25,"Mid","Budget"))</f>
        <v>Budget</v>
      </c>
    </row>
    <row r="160" spans="1:17" x14ac:dyDescent="0.25">
      <c r="A160" t="s">
        <v>300</v>
      </c>
      <c r="B160" t="s">
        <v>200</v>
      </c>
      <c r="C160" t="s">
        <v>9</v>
      </c>
      <c r="D160" s="7">
        <v>4.8</v>
      </c>
      <c r="E160">
        <v>37369</v>
      </c>
      <c r="F160" t="s">
        <v>10</v>
      </c>
      <c r="G160" s="9" t="s">
        <v>302</v>
      </c>
      <c r="H160" s="10">
        <v>5.96</v>
      </c>
      <c r="I160" t="s">
        <v>153</v>
      </c>
      <c r="J160">
        <v>40</v>
      </c>
      <c r="K160" s="6">
        <v>43529</v>
      </c>
      <c r="L160" t="s">
        <v>61</v>
      </c>
      <c r="M160">
        <v>91</v>
      </c>
      <c r="P160" s="7" t="str">
        <f>IF(Books_DB_F[[#This Row],[Rating F]]&gt;=4.7,"High",IF(Books_DB_F[[#This Row],[Rating F]]&gt;=4.4,"Medium","Low"))</f>
        <v>High</v>
      </c>
      <c r="Q160" s="7" t="str">
        <f>IF(Books_DB_F[[#This Row],[Price F($)]]&gt;48,"Premium",IF(Books_DB_F[[#This Row],[Price F($)]]&gt;25,"Mid","Budget"))</f>
        <v>Budget</v>
      </c>
    </row>
    <row r="161" spans="1:17" x14ac:dyDescent="0.25">
      <c r="A161" t="s">
        <v>55</v>
      </c>
      <c r="B161" t="s">
        <v>56</v>
      </c>
      <c r="C161" t="s">
        <v>57</v>
      </c>
      <c r="D161" s="7">
        <v>4.9000000000000004</v>
      </c>
      <c r="E161">
        <v>78436</v>
      </c>
      <c r="F161" t="s">
        <v>58</v>
      </c>
      <c r="G161" s="9" t="s">
        <v>59</v>
      </c>
      <c r="H161" s="10">
        <v>5.75</v>
      </c>
      <c r="I161" t="s">
        <v>130</v>
      </c>
      <c r="J161">
        <v>26</v>
      </c>
      <c r="K161" s="6">
        <v>34416</v>
      </c>
      <c r="L161" t="s">
        <v>61</v>
      </c>
      <c r="M161">
        <v>13</v>
      </c>
      <c r="N161">
        <v>46</v>
      </c>
      <c r="O161">
        <v>17</v>
      </c>
      <c r="P161" s="7" t="str">
        <f>IF(Books_DB_F[[#This Row],[Rating F]]&gt;=4.7,"High",IF(Books_DB_F[[#This Row],[Rating F]]&gt;=4.4,"Medium","Low"))</f>
        <v>High</v>
      </c>
      <c r="Q161" s="7" t="str">
        <f>IF(Books_DB_F[[#This Row],[Price F($)]]&gt;48,"Premium",IF(Books_DB_F[[#This Row],[Price F($)]]&gt;25,"Mid","Budget"))</f>
        <v>Budget</v>
      </c>
    </row>
    <row r="162" spans="1:17" x14ac:dyDescent="0.25">
      <c r="A162" t="s">
        <v>550</v>
      </c>
      <c r="B162" t="s">
        <v>551</v>
      </c>
      <c r="C162" t="s">
        <v>57</v>
      </c>
      <c r="D162" s="7">
        <v>4.9000000000000004</v>
      </c>
      <c r="E162">
        <v>19727</v>
      </c>
      <c r="F162" t="s">
        <v>10</v>
      </c>
      <c r="G162" s="9" t="s">
        <v>552</v>
      </c>
      <c r="H162" s="10">
        <v>5.72</v>
      </c>
      <c r="I162" t="s">
        <v>98</v>
      </c>
      <c r="J162">
        <v>32</v>
      </c>
      <c r="K162" s="6">
        <v>43592</v>
      </c>
      <c r="L162" t="s">
        <v>61</v>
      </c>
      <c r="O162">
        <v>84</v>
      </c>
      <c r="P162" s="7" t="str">
        <f>IF(Books_DB_F[[#This Row],[Rating F]]&gt;=4.7,"High",IF(Books_DB_F[[#This Row],[Rating F]]&gt;=4.4,"Medium","Low"))</f>
        <v>High</v>
      </c>
      <c r="Q162" s="7" t="str">
        <f>IF(Books_DB_F[[#This Row],[Price F($)]]&gt;48,"Premium",IF(Books_DB_F[[#This Row],[Price F($)]]&gt;25,"Mid","Budget"))</f>
        <v>Budget</v>
      </c>
    </row>
    <row r="163" spans="1:17" x14ac:dyDescent="0.25">
      <c r="A163" t="s">
        <v>322</v>
      </c>
      <c r="B163" t="s">
        <v>200</v>
      </c>
      <c r="C163" t="s">
        <v>9</v>
      </c>
      <c r="D163" s="7">
        <v>4.8</v>
      </c>
      <c r="E163">
        <v>34994</v>
      </c>
      <c r="F163" t="s">
        <v>10</v>
      </c>
      <c r="G163" s="9" t="s">
        <v>323</v>
      </c>
      <c r="H163" s="10">
        <v>5.71</v>
      </c>
      <c r="I163" t="s">
        <v>153</v>
      </c>
      <c r="J163">
        <v>40</v>
      </c>
      <c r="K163" s="6">
        <v>43298</v>
      </c>
      <c r="L163" t="s">
        <v>61</v>
      </c>
      <c r="M163">
        <v>99</v>
      </c>
      <c r="P163" s="7" t="str">
        <f>IF(Books_DB_F[[#This Row],[Rating F]]&gt;=4.7,"High",IF(Books_DB_F[[#This Row],[Rating F]]&gt;=4.4,"Medium","Low"))</f>
        <v>High</v>
      </c>
      <c r="Q163" s="7" t="str">
        <f>IF(Books_DB_F[[#This Row],[Price F($)]]&gt;48,"Premium",IF(Books_DB_F[[#This Row],[Price F($)]]&gt;25,"Mid","Budget"))</f>
        <v>Budget</v>
      </c>
    </row>
    <row r="164" spans="1:17" x14ac:dyDescent="0.25">
      <c r="A164" t="s">
        <v>536</v>
      </c>
      <c r="B164" t="s">
        <v>100</v>
      </c>
      <c r="C164" t="s">
        <v>9</v>
      </c>
      <c r="D164" s="7">
        <v>4.8</v>
      </c>
      <c r="E164">
        <v>7549</v>
      </c>
      <c r="F164" t="s">
        <v>10</v>
      </c>
      <c r="G164" s="9" t="s">
        <v>537</v>
      </c>
      <c r="H164" s="10">
        <v>5.64</v>
      </c>
      <c r="I164" t="s">
        <v>102</v>
      </c>
      <c r="J164">
        <v>224</v>
      </c>
      <c r="K164" s="6">
        <v>45629</v>
      </c>
      <c r="L164" t="s">
        <v>103</v>
      </c>
      <c r="O164">
        <v>71</v>
      </c>
      <c r="P164" s="7" t="str">
        <f>IF(Books_DB_F[[#This Row],[Rating F]]&gt;=4.7,"High",IF(Books_DB_F[[#This Row],[Rating F]]&gt;=4.4,"Medium","Low"))</f>
        <v>High</v>
      </c>
      <c r="Q164" s="7" t="str">
        <f>IF(Books_DB_F[[#This Row],[Price F($)]]&gt;48,"Premium",IF(Books_DB_F[[#This Row],[Price F($)]]&gt;25,"Mid","Budget"))</f>
        <v>Budget</v>
      </c>
    </row>
    <row r="165" spans="1:17" x14ac:dyDescent="0.25">
      <c r="A165" t="s">
        <v>199</v>
      </c>
      <c r="B165" t="s">
        <v>200</v>
      </c>
      <c r="C165" t="s">
        <v>9</v>
      </c>
      <c r="D165" s="7">
        <v>4.8</v>
      </c>
      <c r="E165">
        <v>18031</v>
      </c>
      <c r="F165" t="s">
        <v>10</v>
      </c>
      <c r="G165" s="9" t="s">
        <v>201</v>
      </c>
      <c r="H165" s="10">
        <v>5.6</v>
      </c>
      <c r="I165" t="s">
        <v>153</v>
      </c>
      <c r="J165">
        <v>40</v>
      </c>
      <c r="K165" s="6">
        <v>43711</v>
      </c>
      <c r="L165" t="s">
        <v>61</v>
      </c>
      <c r="M165">
        <v>57</v>
      </c>
      <c r="P165" s="7" t="str">
        <f>IF(Books_DB_F[[#This Row],[Rating F]]&gt;=4.7,"High",IF(Books_DB_F[[#This Row],[Rating F]]&gt;=4.4,"Medium","Low"))</f>
        <v>High</v>
      </c>
      <c r="Q165" s="7" t="str">
        <f>IF(Books_DB_F[[#This Row],[Price F($)]]&gt;48,"Premium",IF(Books_DB_F[[#This Row],[Price F($)]]&gt;25,"Mid","Budget"))</f>
        <v>Budget</v>
      </c>
    </row>
    <row r="166" spans="1:17" x14ac:dyDescent="0.25">
      <c r="A166" t="s">
        <v>99</v>
      </c>
      <c r="B166" t="s">
        <v>100</v>
      </c>
      <c r="C166" t="s">
        <v>9</v>
      </c>
      <c r="D166" s="7">
        <v>4.8</v>
      </c>
      <c r="E166">
        <v>11089</v>
      </c>
      <c r="F166" t="s">
        <v>10</v>
      </c>
      <c r="G166" s="9" t="s">
        <v>101</v>
      </c>
      <c r="H166" s="10">
        <v>5.48</v>
      </c>
      <c r="I166" t="s">
        <v>102</v>
      </c>
      <c r="J166">
        <v>240</v>
      </c>
      <c r="K166" s="6">
        <v>45013</v>
      </c>
      <c r="L166" t="s">
        <v>103</v>
      </c>
      <c r="M166">
        <v>25</v>
      </c>
      <c r="N166">
        <v>28</v>
      </c>
      <c r="P166" s="7" t="str">
        <f>IF(Books_DB_F[[#This Row],[Rating F]]&gt;=4.7,"High",IF(Books_DB_F[[#This Row],[Rating F]]&gt;=4.4,"Medium","Low"))</f>
        <v>High</v>
      </c>
      <c r="Q166" s="7" t="str">
        <f>IF(Books_DB_F[[#This Row],[Price F($)]]&gt;48,"Premium",IF(Books_DB_F[[#This Row],[Price F($)]]&gt;25,"Mid","Budget"))</f>
        <v>Budget</v>
      </c>
    </row>
    <row r="167" spans="1:17" x14ac:dyDescent="0.25">
      <c r="A167" t="s">
        <v>384</v>
      </c>
      <c r="B167" t="s">
        <v>385</v>
      </c>
      <c r="C167" t="s">
        <v>15</v>
      </c>
      <c r="D167" s="7">
        <v>4.7</v>
      </c>
      <c r="E167">
        <v>25729</v>
      </c>
      <c r="F167" t="s">
        <v>24</v>
      </c>
      <c r="G167" s="9" t="s">
        <v>386</v>
      </c>
      <c r="H167" s="10">
        <v>5.44</v>
      </c>
      <c r="I167" t="s">
        <v>355</v>
      </c>
      <c r="J167">
        <v>160</v>
      </c>
      <c r="K167" s="6">
        <v>43704</v>
      </c>
      <c r="L167" t="s">
        <v>61</v>
      </c>
      <c r="N167">
        <v>54</v>
      </c>
      <c r="O167">
        <v>25</v>
      </c>
      <c r="P167" s="7" t="str">
        <f>IF(Books_DB_F[[#This Row],[Rating F]]&gt;=4.7,"High",IF(Books_DB_F[[#This Row],[Rating F]]&gt;=4.4,"Medium","Low"))</f>
        <v>High</v>
      </c>
      <c r="Q167" s="7" t="str">
        <f>IF(Books_DB_F[[#This Row],[Price F($)]]&gt;48,"Premium",IF(Books_DB_F[[#This Row],[Price F($)]]&gt;25,"Mid","Budget"))</f>
        <v>Budget</v>
      </c>
    </row>
    <row r="168" spans="1:17" x14ac:dyDescent="0.25">
      <c r="A168" t="s">
        <v>117</v>
      </c>
      <c r="B168" t="s">
        <v>118</v>
      </c>
      <c r="C168" t="s">
        <v>57</v>
      </c>
      <c r="D168" s="7">
        <v>4.9000000000000004</v>
      </c>
      <c r="E168">
        <v>14622</v>
      </c>
      <c r="F168" t="s">
        <v>58</v>
      </c>
      <c r="G168" s="9" t="s">
        <v>119</v>
      </c>
      <c r="H168" s="10">
        <v>5.37</v>
      </c>
      <c r="I168" t="s">
        <v>98</v>
      </c>
      <c r="J168">
        <v>24</v>
      </c>
      <c r="K168" s="6">
        <v>43837</v>
      </c>
      <c r="L168" t="s">
        <v>61</v>
      </c>
      <c r="M168">
        <v>30</v>
      </c>
      <c r="N168">
        <v>43</v>
      </c>
      <c r="O168">
        <v>30</v>
      </c>
      <c r="P168" s="7" t="str">
        <f>IF(Books_DB_F[[#This Row],[Rating F]]&gt;=4.7,"High",IF(Books_DB_F[[#This Row],[Rating F]]&gt;=4.4,"Medium","Low"))</f>
        <v>High</v>
      </c>
      <c r="Q168" s="7" t="str">
        <f>IF(Books_DB_F[[#This Row],[Price F($)]]&gt;48,"Premium",IF(Books_DB_F[[#This Row],[Price F($)]]&gt;25,"Mid","Budget"))</f>
        <v>Budget</v>
      </c>
    </row>
    <row r="169" spans="1:17" x14ac:dyDescent="0.25">
      <c r="A169" t="s">
        <v>319</v>
      </c>
      <c r="B169" t="s">
        <v>320</v>
      </c>
      <c r="C169" t="s">
        <v>9</v>
      </c>
      <c r="D169" s="7">
        <v>4.8</v>
      </c>
      <c r="E169">
        <v>89173</v>
      </c>
      <c r="F169" t="s">
        <v>24</v>
      </c>
      <c r="G169" s="9" t="s">
        <v>321</v>
      </c>
      <c r="H169" s="10">
        <v>5.26</v>
      </c>
      <c r="I169" t="s">
        <v>153</v>
      </c>
      <c r="J169">
        <v>84</v>
      </c>
      <c r="K169" s="6">
        <v>43704</v>
      </c>
      <c r="L169" t="s">
        <v>61</v>
      </c>
      <c r="M169">
        <v>98</v>
      </c>
      <c r="N169">
        <v>33</v>
      </c>
      <c r="O169">
        <v>8</v>
      </c>
      <c r="P169" s="7" t="str">
        <f>IF(Books_DB_F[[#This Row],[Rating F]]&gt;=4.7,"High",IF(Books_DB_F[[#This Row],[Rating F]]&gt;=4.4,"Medium","Low"))</f>
        <v>High</v>
      </c>
      <c r="Q169" s="7" t="str">
        <f>IF(Books_DB_F[[#This Row],[Price F($)]]&gt;48,"Premium",IF(Books_DB_F[[#This Row],[Price F($)]]&gt;25,"Mid","Budget"))</f>
        <v>Budget</v>
      </c>
    </row>
    <row r="170" spans="1:17" x14ac:dyDescent="0.25">
      <c r="A170" t="s">
        <v>422</v>
      </c>
      <c r="B170" t="s">
        <v>423</v>
      </c>
      <c r="C170" t="s">
        <v>9</v>
      </c>
      <c r="D170" s="7">
        <v>4.8</v>
      </c>
      <c r="E170">
        <v>10381</v>
      </c>
      <c r="F170" t="s">
        <v>58</v>
      </c>
      <c r="G170" s="9" t="s">
        <v>424</v>
      </c>
      <c r="H170" s="10">
        <v>5.18</v>
      </c>
      <c r="I170" t="s">
        <v>130</v>
      </c>
      <c r="J170">
        <v>18</v>
      </c>
      <c r="K170" s="6">
        <v>43375</v>
      </c>
      <c r="L170" t="s">
        <v>61</v>
      </c>
      <c r="N170">
        <v>74</v>
      </c>
      <c r="P170" s="7" t="str">
        <f>IF(Books_DB_F[[#This Row],[Rating F]]&gt;=4.7,"High",IF(Books_DB_F[[#This Row],[Rating F]]&gt;=4.4,"Medium","Low"))</f>
        <v>High</v>
      </c>
      <c r="Q170" s="7" t="str">
        <f>IF(Books_DB_F[[#This Row],[Price F($)]]&gt;48,"Premium",IF(Books_DB_F[[#This Row],[Price F($)]]&gt;25,"Mid","Budget"))</f>
        <v>Budget</v>
      </c>
    </row>
    <row r="171" spans="1:17" x14ac:dyDescent="0.25">
      <c r="A171" t="s">
        <v>294</v>
      </c>
      <c r="B171" t="s">
        <v>295</v>
      </c>
      <c r="C171" t="s">
        <v>32</v>
      </c>
      <c r="D171" s="7">
        <v>4.5999999999999996</v>
      </c>
      <c r="E171">
        <v>123058</v>
      </c>
      <c r="F171" t="s">
        <v>24</v>
      </c>
      <c r="G171" s="9" t="s">
        <v>296</v>
      </c>
      <c r="H171" s="10">
        <v>5.03</v>
      </c>
      <c r="I171" t="s">
        <v>12</v>
      </c>
      <c r="J171">
        <v>208</v>
      </c>
      <c r="K171" s="6">
        <v>41744</v>
      </c>
      <c r="L171" t="s">
        <v>22</v>
      </c>
      <c r="M171">
        <v>89</v>
      </c>
      <c r="O171">
        <v>88</v>
      </c>
      <c r="P171" s="7" t="str">
        <f>IF(Books_DB_F[[#This Row],[Rating F]]&gt;=4.7,"High",IF(Books_DB_F[[#This Row],[Rating F]]&gt;=4.4,"Medium","Low"))</f>
        <v>Medium</v>
      </c>
      <c r="Q171" s="7" t="str">
        <f>IF(Books_DB_F[[#This Row],[Price F($)]]&gt;48,"Premium",IF(Books_DB_F[[#This Row],[Price F($)]]&gt;25,"Mid","Budget"))</f>
        <v>Budget</v>
      </c>
    </row>
    <row r="172" spans="1:17" x14ac:dyDescent="0.25">
      <c r="A172" t="s">
        <v>464</v>
      </c>
      <c r="B172" t="s">
        <v>465</v>
      </c>
      <c r="C172" t="s">
        <v>28</v>
      </c>
      <c r="D172" s="7">
        <v>4.4000000000000004</v>
      </c>
      <c r="E172">
        <v>158268</v>
      </c>
      <c r="F172" t="s">
        <v>24</v>
      </c>
      <c r="G172" s="9" t="s">
        <v>466</v>
      </c>
      <c r="H172" s="10">
        <v>4.99</v>
      </c>
      <c r="I172" t="s">
        <v>12</v>
      </c>
      <c r="J172">
        <v>448</v>
      </c>
      <c r="K172" s="6">
        <v>45237</v>
      </c>
      <c r="L172" t="s">
        <v>17</v>
      </c>
      <c r="N172">
        <v>99</v>
      </c>
      <c r="O172">
        <v>68</v>
      </c>
      <c r="P172" s="7" t="str">
        <f>IF(Books_DB_F[[#This Row],[Rating F]]&gt;=4.7,"High",IF(Books_DB_F[[#This Row],[Rating F]]&gt;=4.4,"Medium","Low"))</f>
        <v>Medium</v>
      </c>
      <c r="Q172" s="7" t="str">
        <f>IF(Books_DB_F[[#This Row],[Price F($)]]&gt;48,"Premium",IF(Books_DB_F[[#This Row],[Price F($)]]&gt;25,"Mid","Budget"))</f>
        <v>Budget</v>
      </c>
    </row>
    <row r="173" spans="1:17" x14ac:dyDescent="0.25">
      <c r="A173" t="s">
        <v>535</v>
      </c>
      <c r="B173" t="s">
        <v>590</v>
      </c>
      <c r="C173" t="s">
        <v>140</v>
      </c>
      <c r="D173" s="7">
        <v>4.2</v>
      </c>
      <c r="E173">
        <v>162653</v>
      </c>
      <c r="F173" t="s">
        <v>24</v>
      </c>
      <c r="G173" s="9" t="s">
        <v>466</v>
      </c>
      <c r="H173" s="10">
        <v>4.99</v>
      </c>
      <c r="I173" t="s">
        <v>12</v>
      </c>
      <c r="J173">
        <v>384</v>
      </c>
      <c r="K173" s="6">
        <v>45685</v>
      </c>
      <c r="L173" t="s">
        <v>54</v>
      </c>
      <c r="O173">
        <v>70</v>
      </c>
      <c r="P173" s="7" t="str">
        <f>IF(Books_DB_F[[#This Row],[Rating F]]&gt;=4.7,"High",IF(Books_DB_F[[#This Row],[Rating F]]&gt;=4.4,"Medium","Low"))</f>
        <v>Low</v>
      </c>
      <c r="Q173" s="7" t="str">
        <f>IF(Books_DB_F[[#This Row],[Price F($)]]&gt;48,"Premium",IF(Books_DB_F[[#This Row],[Price F($)]]&gt;25,"Mid","Budget"))</f>
        <v>Budget</v>
      </c>
    </row>
    <row r="174" spans="1:17" x14ac:dyDescent="0.25">
      <c r="A174" t="s">
        <v>297</v>
      </c>
      <c r="B174" t="s">
        <v>595</v>
      </c>
      <c r="C174" t="s">
        <v>57</v>
      </c>
      <c r="D174" s="7">
        <v>4.9000000000000004</v>
      </c>
      <c r="E174">
        <v>67104</v>
      </c>
      <c r="F174" t="s">
        <v>24</v>
      </c>
      <c r="G174" s="9" t="s">
        <v>299</v>
      </c>
      <c r="H174" s="10">
        <v>4.9800000000000004</v>
      </c>
      <c r="I174" t="s">
        <v>98</v>
      </c>
      <c r="J174">
        <v>32</v>
      </c>
      <c r="K174" s="6">
        <v>34943</v>
      </c>
      <c r="L174" t="s">
        <v>61</v>
      </c>
      <c r="M174">
        <v>90</v>
      </c>
      <c r="P174" s="7" t="str">
        <f>IF(Books_DB_F[[#This Row],[Rating F]]&gt;=4.7,"High",IF(Books_DB_F[[#This Row],[Rating F]]&gt;=4.4,"Medium","Low"))</f>
        <v>High</v>
      </c>
      <c r="Q174" s="7" t="str">
        <f>IF(Books_DB_F[[#This Row],[Price F($)]]&gt;48,"Premium",IF(Books_DB_F[[#This Row],[Price F($)]]&gt;25,"Mid","Budget"))</f>
        <v>Budget</v>
      </c>
    </row>
    <row r="175" spans="1:17" x14ac:dyDescent="0.25">
      <c r="A175" t="s">
        <v>110</v>
      </c>
      <c r="B175" t="s">
        <v>111</v>
      </c>
      <c r="C175" t="s">
        <v>57</v>
      </c>
      <c r="D175" s="7">
        <v>4.9000000000000004</v>
      </c>
      <c r="E175">
        <v>55794</v>
      </c>
      <c r="F175" t="s">
        <v>58</v>
      </c>
      <c r="G175" s="9" t="s">
        <v>112</v>
      </c>
      <c r="H175" s="10">
        <v>4.82</v>
      </c>
      <c r="I175" t="s">
        <v>130</v>
      </c>
      <c r="J175">
        <v>24</v>
      </c>
      <c r="K175" s="6">
        <v>35323</v>
      </c>
      <c r="L175" t="s">
        <v>61</v>
      </c>
      <c r="M175">
        <v>28</v>
      </c>
      <c r="N175">
        <v>36</v>
      </c>
      <c r="O175">
        <v>37</v>
      </c>
      <c r="P175" s="7" t="str">
        <f>IF(Books_DB_F[[#This Row],[Rating F]]&gt;=4.7,"High",IF(Books_DB_F[[#This Row],[Rating F]]&gt;=4.4,"Medium","Low"))</f>
        <v>High</v>
      </c>
      <c r="Q175" s="7" t="str">
        <f>IF(Books_DB_F[[#This Row],[Price F($)]]&gt;48,"Premium",IF(Books_DB_F[[#This Row],[Price F($)]]&gt;25,"Mid","Budget"))</f>
        <v>Budget</v>
      </c>
    </row>
    <row r="176" spans="1:17" x14ac:dyDescent="0.25">
      <c r="A176" t="s">
        <v>431</v>
      </c>
      <c r="B176" t="s">
        <v>432</v>
      </c>
      <c r="C176" t="s">
        <v>9</v>
      </c>
      <c r="D176" s="7">
        <v>4.8</v>
      </c>
      <c r="E176">
        <v>8150</v>
      </c>
      <c r="F176" t="s">
        <v>58</v>
      </c>
      <c r="G176" s="9" t="s">
        <v>433</v>
      </c>
      <c r="H176" s="10">
        <v>4.7</v>
      </c>
      <c r="I176" t="s">
        <v>153</v>
      </c>
      <c r="J176">
        <v>12</v>
      </c>
      <c r="K176" s="6">
        <v>36187</v>
      </c>
      <c r="L176" t="s">
        <v>61</v>
      </c>
      <c r="N176">
        <v>81</v>
      </c>
      <c r="O176">
        <v>31</v>
      </c>
      <c r="P176" s="7" t="str">
        <f>IF(Books_DB_F[[#This Row],[Rating F]]&gt;=4.7,"High",IF(Books_DB_F[[#This Row],[Rating F]]&gt;=4.4,"Medium","Low"))</f>
        <v>High</v>
      </c>
      <c r="Q176" s="7" t="str">
        <f>IF(Books_DB_F[[#This Row],[Price F($)]]&gt;48,"Premium",IF(Books_DB_F[[#This Row],[Price F($)]]&gt;25,"Mid","Budget"))</f>
        <v>Budget</v>
      </c>
    </row>
    <row r="177" spans="1:17" x14ac:dyDescent="0.25">
      <c r="A177" t="s">
        <v>521</v>
      </c>
      <c r="B177" t="s">
        <v>522</v>
      </c>
      <c r="C177" t="s">
        <v>9</v>
      </c>
      <c r="D177" s="7">
        <v>4.8</v>
      </c>
      <c r="E177">
        <v>35944</v>
      </c>
      <c r="F177" t="s">
        <v>58</v>
      </c>
      <c r="G177" s="9" t="s">
        <v>523</v>
      </c>
      <c r="H177" s="10">
        <v>4.5</v>
      </c>
      <c r="I177" t="s">
        <v>130</v>
      </c>
      <c r="J177">
        <v>22</v>
      </c>
      <c r="K177" s="6">
        <v>37802</v>
      </c>
      <c r="L177" t="s">
        <v>61</v>
      </c>
      <c r="O177">
        <v>61</v>
      </c>
      <c r="P177" s="7" t="str">
        <f>IF(Books_DB_F[[#This Row],[Rating F]]&gt;=4.7,"High",IF(Books_DB_F[[#This Row],[Rating F]]&gt;=4.4,"Medium","Low"))</f>
        <v>High</v>
      </c>
      <c r="Q177" s="7" t="str">
        <f>IF(Books_DB_F[[#This Row],[Price F($)]]&gt;48,"Premium",IF(Books_DB_F[[#This Row],[Price F($)]]&gt;25,"Mid","Budget"))</f>
        <v>Budget</v>
      </c>
    </row>
    <row r="178" spans="1:17" x14ac:dyDescent="0.25">
      <c r="A178" t="s">
        <v>519</v>
      </c>
      <c r="B178" t="s">
        <v>590</v>
      </c>
      <c r="C178" t="s">
        <v>140</v>
      </c>
      <c r="D178" s="7">
        <v>4.2</v>
      </c>
      <c r="E178">
        <v>174300</v>
      </c>
      <c r="F178" t="s">
        <v>24</v>
      </c>
      <c r="G178" s="9" t="s">
        <v>520</v>
      </c>
      <c r="H178" s="10">
        <v>4.47</v>
      </c>
      <c r="I178" t="s">
        <v>12</v>
      </c>
      <c r="J178">
        <v>368</v>
      </c>
      <c r="K178" s="6">
        <v>45783</v>
      </c>
      <c r="L178" t="s">
        <v>54</v>
      </c>
      <c r="O178">
        <v>58</v>
      </c>
      <c r="P178" s="7" t="str">
        <f>IF(Books_DB_F[[#This Row],[Rating F]]&gt;=4.7,"High",IF(Books_DB_F[[#This Row],[Rating F]]&gt;=4.4,"Medium","Low"))</f>
        <v>Low</v>
      </c>
      <c r="Q178" s="7" t="str">
        <f>IF(Books_DB_F[[#This Row],[Price F($)]]&gt;48,"Premium",IF(Books_DB_F[[#This Row],[Price F($)]]&gt;25,"Mid","Budget"))</f>
        <v>Budget</v>
      </c>
    </row>
    <row r="179" spans="1:17" x14ac:dyDescent="0.25">
      <c r="A179" t="s">
        <v>73</v>
      </c>
      <c r="B179" t="s">
        <v>74</v>
      </c>
      <c r="C179" t="s">
        <v>57</v>
      </c>
      <c r="D179" s="7">
        <v>4.9000000000000004</v>
      </c>
      <c r="E179">
        <v>9344</v>
      </c>
      <c r="F179" t="s">
        <v>10</v>
      </c>
      <c r="G179" s="9" t="s">
        <v>75</v>
      </c>
      <c r="H179" s="10">
        <v>4.3499999999999996</v>
      </c>
      <c r="I179" t="s">
        <v>76</v>
      </c>
      <c r="J179">
        <v>24</v>
      </c>
      <c r="K179" s="6">
        <v>45048</v>
      </c>
      <c r="L179" t="s">
        <v>77</v>
      </c>
      <c r="M179">
        <v>18</v>
      </c>
      <c r="N179">
        <v>92</v>
      </c>
      <c r="P179" s="7" t="str">
        <f>IF(Books_DB_F[[#This Row],[Rating F]]&gt;=4.7,"High",IF(Books_DB_F[[#This Row],[Rating F]]&gt;=4.4,"Medium","Low"))</f>
        <v>High</v>
      </c>
      <c r="Q179" s="7" t="str">
        <f>IF(Books_DB_F[[#This Row],[Price F($)]]&gt;48,"Premium",IF(Books_DB_F[[#This Row],[Price F($)]]&gt;25,"Mid","Budget"))</f>
        <v>Budget</v>
      </c>
    </row>
    <row r="180" spans="1:17" x14ac:dyDescent="0.25">
      <c r="A180" t="s">
        <v>204</v>
      </c>
      <c r="B180" t="s">
        <v>205</v>
      </c>
      <c r="C180" t="s">
        <v>9</v>
      </c>
      <c r="D180" s="7">
        <v>4.8</v>
      </c>
      <c r="E180">
        <v>75734</v>
      </c>
      <c r="F180" t="s">
        <v>58</v>
      </c>
      <c r="G180" s="9" t="s">
        <v>206</v>
      </c>
      <c r="H180" s="10">
        <v>4.2300000000000004</v>
      </c>
      <c r="I180" t="s">
        <v>98</v>
      </c>
      <c r="J180">
        <v>34</v>
      </c>
      <c r="K180" s="6">
        <v>41793</v>
      </c>
      <c r="L180" t="s">
        <v>61</v>
      </c>
      <c r="M180">
        <v>59</v>
      </c>
      <c r="P180" s="7" t="str">
        <f>IF(Books_DB_F[[#This Row],[Rating F]]&gt;=4.7,"High",IF(Books_DB_F[[#This Row],[Rating F]]&gt;=4.4,"Medium","Low"))</f>
        <v>High</v>
      </c>
      <c r="Q180" s="7" t="str">
        <f>IF(Books_DB_F[[#This Row],[Price F($)]]&gt;48,"Premium",IF(Books_DB_F[[#This Row],[Price F($)]]&gt;25,"Mid","Budget"))</f>
        <v>Budget</v>
      </c>
    </row>
    <row r="181" spans="1:17" x14ac:dyDescent="0.25">
      <c r="A181" t="s">
        <v>213</v>
      </c>
      <c r="B181" t="s">
        <v>214</v>
      </c>
      <c r="C181" t="s">
        <v>57</v>
      </c>
      <c r="D181" s="7">
        <v>4.9000000000000004</v>
      </c>
      <c r="E181">
        <v>41314</v>
      </c>
      <c r="F181" t="s">
        <v>58</v>
      </c>
      <c r="G181" s="9" t="s">
        <v>215</v>
      </c>
      <c r="H181" s="10">
        <v>4.17</v>
      </c>
      <c r="I181" t="s">
        <v>130</v>
      </c>
      <c r="J181">
        <v>36</v>
      </c>
      <c r="K181" s="6">
        <v>40909</v>
      </c>
      <c r="L181" t="s">
        <v>61</v>
      </c>
      <c r="M181">
        <v>62</v>
      </c>
      <c r="N181">
        <v>47</v>
      </c>
      <c r="O181">
        <v>52</v>
      </c>
      <c r="P181" s="7" t="str">
        <f>IF(Books_DB_F[[#This Row],[Rating F]]&gt;=4.7,"High",IF(Books_DB_F[[#This Row],[Rating F]]&gt;=4.4,"Medium","Low"))</f>
        <v>High</v>
      </c>
      <c r="Q181" s="7" t="str">
        <f>IF(Books_DB_F[[#This Row],[Price F($)]]&gt;48,"Premium",IF(Books_DB_F[[#This Row],[Price F($)]]&gt;25,"Mid","Budget"))</f>
        <v>Budget</v>
      </c>
    </row>
    <row r="182" spans="1:17" x14ac:dyDescent="0.25">
      <c r="A182" t="s">
        <v>555</v>
      </c>
      <c r="B182" t="s">
        <v>556</v>
      </c>
      <c r="C182" t="s">
        <v>32</v>
      </c>
      <c r="D182" s="7">
        <v>4.5999999999999996</v>
      </c>
      <c r="E182">
        <v>12949</v>
      </c>
      <c r="F182" t="s">
        <v>24</v>
      </c>
      <c r="G182" s="9" t="s">
        <v>557</v>
      </c>
      <c r="H182" s="10">
        <v>3.99</v>
      </c>
      <c r="I182" t="s">
        <v>76</v>
      </c>
      <c r="J182">
        <v>128</v>
      </c>
      <c r="K182" s="6">
        <v>42402</v>
      </c>
      <c r="L182" t="s">
        <v>61</v>
      </c>
      <c r="O182">
        <v>89</v>
      </c>
      <c r="P182" s="7" t="str">
        <f>IF(Books_DB_F[[#This Row],[Rating F]]&gt;=4.7,"High",IF(Books_DB_F[[#This Row],[Rating F]]&gt;=4.4,"Medium","Low"))</f>
        <v>Medium</v>
      </c>
      <c r="Q182" s="7" t="str">
        <f>IF(Books_DB_F[[#This Row],[Price F($)]]&gt;48,"Premium",IF(Books_DB_F[[#This Row],[Price F($)]]&gt;25,"Mid","Budget"))</f>
        <v>Budget</v>
      </c>
    </row>
    <row r="183" spans="1:17" x14ac:dyDescent="0.25">
      <c r="A183" t="s">
        <v>95</v>
      </c>
      <c r="B183" t="s">
        <v>96</v>
      </c>
      <c r="C183" t="s">
        <v>57</v>
      </c>
      <c r="D183" s="7">
        <v>4.9000000000000004</v>
      </c>
      <c r="E183">
        <v>80263</v>
      </c>
      <c r="F183" t="s">
        <v>58</v>
      </c>
      <c r="G183" s="9" t="s">
        <v>97</v>
      </c>
      <c r="H183" s="10">
        <v>3.97</v>
      </c>
      <c r="I183" t="s">
        <v>98</v>
      </c>
      <c r="J183">
        <v>28</v>
      </c>
      <c r="K183" s="6">
        <v>42066</v>
      </c>
      <c r="L183" t="s">
        <v>61</v>
      </c>
      <c r="M183">
        <v>24</v>
      </c>
      <c r="N183">
        <v>26</v>
      </c>
      <c r="P183" s="7" t="str">
        <f>IF(Books_DB_F[[#This Row],[Rating F]]&gt;=4.7,"High",IF(Books_DB_F[[#This Row],[Rating F]]&gt;=4.4,"Medium","Low"))</f>
        <v>High</v>
      </c>
      <c r="Q183" s="7" t="str">
        <f>IF(Books_DB_F[[#This Row],[Price F($)]]&gt;48,"Premium",IF(Books_DB_F[[#This Row],[Price F($)]]&gt;25,"Mid","Budget"))</f>
        <v>Budget</v>
      </c>
    </row>
    <row r="184" spans="1:17" x14ac:dyDescent="0.25">
      <c r="A184" t="s">
        <v>526</v>
      </c>
      <c r="B184" t="s">
        <v>527</v>
      </c>
      <c r="C184" t="s">
        <v>9</v>
      </c>
      <c r="D184" s="7">
        <v>4.8</v>
      </c>
      <c r="E184">
        <v>19562</v>
      </c>
      <c r="F184" t="s">
        <v>58</v>
      </c>
      <c r="G184" s="9" t="s">
        <v>528</v>
      </c>
      <c r="H184" s="10">
        <v>3.86</v>
      </c>
      <c r="I184" t="s">
        <v>130</v>
      </c>
      <c r="J184">
        <v>16</v>
      </c>
      <c r="K184" s="6">
        <v>30285</v>
      </c>
      <c r="L184" t="s">
        <v>61</v>
      </c>
      <c r="O184">
        <v>64</v>
      </c>
      <c r="P184" s="7" t="str">
        <f>IF(Books_DB_F[[#This Row],[Rating F]]&gt;=4.7,"High",IF(Books_DB_F[[#This Row],[Rating F]]&gt;=4.4,"Medium","Low"))</f>
        <v>High</v>
      </c>
      <c r="Q184" s="7" t="str">
        <f>IF(Books_DB_F[[#This Row],[Price F($)]]&gt;48,"Premium",IF(Books_DB_F[[#This Row],[Price F($)]]&gt;25,"Mid","Budget"))</f>
        <v>Budget</v>
      </c>
    </row>
    <row r="185" spans="1:17" x14ac:dyDescent="0.25">
      <c r="A185" t="s">
        <v>234</v>
      </c>
      <c r="B185" t="s">
        <v>235</v>
      </c>
      <c r="C185" t="s">
        <v>9</v>
      </c>
      <c r="D185" s="7">
        <v>4.8</v>
      </c>
      <c r="E185">
        <v>32845</v>
      </c>
      <c r="F185" t="s">
        <v>236</v>
      </c>
      <c r="G185" s="9" t="s">
        <v>237</v>
      </c>
      <c r="H185" s="10">
        <v>3.07</v>
      </c>
      <c r="I185" t="s">
        <v>238</v>
      </c>
      <c r="K185" s="6">
        <v>43160</v>
      </c>
      <c r="L185" t="s">
        <v>239</v>
      </c>
      <c r="M185">
        <v>69</v>
      </c>
      <c r="N185">
        <v>53</v>
      </c>
      <c r="O185">
        <v>42</v>
      </c>
      <c r="P185" s="7" t="str">
        <f>IF(Books_DB_F[[#This Row],[Rating F]]&gt;=4.7,"High",IF(Books_DB_F[[#This Row],[Rating F]]&gt;=4.4,"Medium","Low"))</f>
        <v>High</v>
      </c>
      <c r="Q185" s="7" t="str">
        <f>IF(Books_DB_F[[#This Row],[Price F($)]]&gt;48,"Premium",IF(Books_DB_F[[#This Row],[Price F($)]]&gt;25,"Mid","Budget"))</f>
        <v>Budget</v>
      </c>
    </row>
    <row r="186" spans="1:17" x14ac:dyDescent="0.25">
      <c r="A186" t="s">
        <v>401</v>
      </c>
      <c r="B186" t="s">
        <v>402</v>
      </c>
      <c r="C186" t="s">
        <v>179</v>
      </c>
      <c r="D186" s="7">
        <v>4.3</v>
      </c>
      <c r="E186">
        <v>100479</v>
      </c>
      <c r="F186" t="s">
        <v>10</v>
      </c>
      <c r="G186" s="9" t="s">
        <v>403</v>
      </c>
      <c r="H186" s="10">
        <v>3</v>
      </c>
      <c r="I186" t="s">
        <v>12</v>
      </c>
      <c r="J186">
        <v>352</v>
      </c>
      <c r="K186" s="6">
        <v>45293</v>
      </c>
      <c r="L186" t="s">
        <v>54</v>
      </c>
      <c r="N186">
        <v>62</v>
      </c>
      <c r="P186" s="7" t="str">
        <f>IF(Books_DB_F[[#This Row],[Rating F]]&gt;=4.7,"High",IF(Books_DB_F[[#This Row],[Rating F]]&gt;=4.4,"Medium","Low"))</f>
        <v>Low</v>
      </c>
      <c r="Q186" s="7" t="str">
        <f>IF(Books_DB_F[[#This Row],[Price F($)]]&gt;48,"Premium",IF(Books_DB_F[[#This Row],[Price F($)]]&gt;25,"Mid","Budget"))</f>
        <v>Budget</v>
      </c>
    </row>
    <row r="187" spans="1:17" x14ac:dyDescent="0.25">
      <c r="A187" t="s">
        <v>171</v>
      </c>
      <c r="B187" t="s">
        <v>172</v>
      </c>
      <c r="C187" t="s">
        <v>9</v>
      </c>
      <c r="D187" s="7">
        <v>4.8</v>
      </c>
      <c r="E187">
        <v>9137</v>
      </c>
      <c r="F187" t="s">
        <v>24</v>
      </c>
      <c r="G187" s="9" t="s">
        <v>173</v>
      </c>
      <c r="H187" s="10">
        <v>2.7</v>
      </c>
      <c r="I187" t="s">
        <v>174</v>
      </c>
      <c r="J187">
        <v>32</v>
      </c>
      <c r="K187" s="6">
        <v>44586</v>
      </c>
      <c r="L187" t="s">
        <v>77</v>
      </c>
      <c r="M187">
        <v>47</v>
      </c>
      <c r="N187">
        <v>60</v>
      </c>
      <c r="O187">
        <v>94</v>
      </c>
      <c r="P187" s="7" t="str">
        <f>IF(Books_DB_F[[#This Row],[Rating F]]&gt;=4.7,"High",IF(Books_DB_F[[#This Row],[Rating F]]&gt;=4.4,"Medium","Low"))</f>
        <v>High</v>
      </c>
      <c r="Q187" s="7" t="str">
        <f>IF(Books_DB_F[[#This Row],[Price F($)]]&gt;48,"Premium",IF(Books_DB_F[[#This Row],[Price F($)]]&gt;25,"Mid","Budget"))</f>
        <v>Budget</v>
      </c>
    </row>
    <row r="188" spans="1:17" x14ac:dyDescent="0.25">
      <c r="A188" t="s">
        <v>372</v>
      </c>
      <c r="B188" t="s">
        <v>373</v>
      </c>
      <c r="C188" t="s">
        <v>15</v>
      </c>
      <c r="D188" s="7">
        <v>4.7</v>
      </c>
      <c r="E188">
        <v>30755</v>
      </c>
      <c r="F188" t="s">
        <v>24</v>
      </c>
      <c r="G188" s="9" t="s">
        <v>173</v>
      </c>
      <c r="H188" s="10">
        <v>2.7</v>
      </c>
      <c r="I188" t="s">
        <v>12</v>
      </c>
      <c r="J188">
        <v>208</v>
      </c>
      <c r="K188" s="6">
        <v>43872</v>
      </c>
      <c r="L188" t="s">
        <v>374</v>
      </c>
      <c r="N188">
        <v>39</v>
      </c>
      <c r="O188">
        <v>41</v>
      </c>
      <c r="P188" s="7" t="str">
        <f>IF(Books_DB_F[[#This Row],[Rating F]]&gt;=4.7,"High",IF(Books_DB_F[[#This Row],[Rating F]]&gt;=4.4,"Medium","Low"))</f>
        <v>High</v>
      </c>
      <c r="Q188" s="7" t="str">
        <f>IF(Books_DB_F[[#This Row],[Price F($)]]&gt;48,"Premium",IF(Books_DB_F[[#This Row],[Price F($)]]&gt;25,"Mid","Budget"))</f>
        <v>Budget</v>
      </c>
    </row>
    <row r="189" spans="1:17" x14ac:dyDescent="0.25">
      <c r="A189" t="s">
        <v>406</v>
      </c>
      <c r="B189" t="s">
        <v>407</v>
      </c>
      <c r="C189" t="s">
        <v>32</v>
      </c>
      <c r="D189" s="7">
        <v>4.5999999999999996</v>
      </c>
      <c r="E189">
        <v>145297</v>
      </c>
      <c r="F189" t="s">
        <v>24</v>
      </c>
      <c r="G189" s="9" t="s">
        <v>173</v>
      </c>
      <c r="H189" s="10">
        <v>2.7</v>
      </c>
      <c r="I189" t="s">
        <v>12</v>
      </c>
      <c r="J189">
        <v>432</v>
      </c>
      <c r="K189" s="6">
        <v>45384</v>
      </c>
      <c r="L189" t="s">
        <v>17</v>
      </c>
      <c r="N189">
        <v>66</v>
      </c>
      <c r="P189" s="7" t="str">
        <f>IF(Books_DB_F[[#This Row],[Rating F]]&gt;=4.7,"High",IF(Books_DB_F[[#This Row],[Rating F]]&gt;=4.4,"Medium","Low"))</f>
        <v>Medium</v>
      </c>
      <c r="Q189" s="7" t="str">
        <f>IF(Books_DB_F[[#This Row],[Price F($)]]&gt;48,"Premium",IF(Books_DB_F[[#This Row],[Price F($)]]&gt;25,"Mid","Budget"))</f>
        <v>Budget</v>
      </c>
    </row>
    <row r="190" spans="1:17" x14ac:dyDescent="0.25">
      <c r="A190" t="s">
        <v>356</v>
      </c>
      <c r="B190" t="s">
        <v>92</v>
      </c>
      <c r="C190" t="s">
        <v>15</v>
      </c>
      <c r="D190" s="7">
        <v>4.7</v>
      </c>
      <c r="E190">
        <v>5812</v>
      </c>
      <c r="F190" t="s">
        <v>10</v>
      </c>
      <c r="G190" s="9" t="s">
        <v>357</v>
      </c>
      <c r="H190" s="10">
        <v>2.69</v>
      </c>
      <c r="I190" t="s">
        <v>275</v>
      </c>
      <c r="J190">
        <v>224</v>
      </c>
      <c r="K190" s="6">
        <v>45587</v>
      </c>
      <c r="L190" t="s">
        <v>61</v>
      </c>
      <c r="N190">
        <v>21</v>
      </c>
      <c r="P190" s="7" t="str">
        <f>IF(Books_DB_F[[#This Row],[Rating F]]&gt;=4.7,"High",IF(Books_DB_F[[#This Row],[Rating F]]&gt;=4.4,"Medium","Low"))</f>
        <v>High</v>
      </c>
      <c r="Q190" s="7" t="str">
        <f>IF(Books_DB_F[[#This Row],[Price F($)]]&gt;48,"Premium",IF(Books_DB_F[[#This Row],[Price F($)]]&gt;25,"Mid","Budget"))</f>
        <v>Budget</v>
      </c>
    </row>
    <row r="191" spans="1:17" x14ac:dyDescent="0.25">
      <c r="A191" t="s">
        <v>452</v>
      </c>
      <c r="B191" t="s">
        <v>172</v>
      </c>
      <c r="C191" t="s">
        <v>9</v>
      </c>
      <c r="D191" s="7">
        <v>4.8</v>
      </c>
      <c r="E191">
        <v>7381</v>
      </c>
      <c r="F191" t="s">
        <v>24</v>
      </c>
      <c r="G191" s="9" t="s">
        <v>453</v>
      </c>
      <c r="H191" s="10">
        <v>2.65</v>
      </c>
      <c r="I191" t="s">
        <v>174</v>
      </c>
      <c r="J191">
        <v>64</v>
      </c>
      <c r="K191" s="6">
        <v>44250</v>
      </c>
      <c r="L191" t="s">
        <v>77</v>
      </c>
      <c r="N191">
        <v>89</v>
      </c>
      <c r="P191" s="7" t="str">
        <f>IF(Books_DB_F[[#This Row],[Rating F]]&gt;=4.7,"High",IF(Books_DB_F[[#This Row],[Rating F]]&gt;=4.4,"Medium","Low"))</f>
        <v>High</v>
      </c>
      <c r="Q191" s="7" t="str">
        <f>IF(Books_DB_F[[#This Row],[Price F($)]]&gt;48,"Premium",IF(Books_DB_F[[#This Row],[Price F($)]]&gt;25,"Mid","Budget"))</f>
        <v>Budget</v>
      </c>
    </row>
    <row r="192" spans="1:17" x14ac:dyDescent="0.25">
      <c r="A192" t="s">
        <v>156</v>
      </c>
      <c r="B192" t="s">
        <v>157</v>
      </c>
      <c r="C192" t="s">
        <v>28</v>
      </c>
      <c r="D192" s="7">
        <v>4.4000000000000004</v>
      </c>
      <c r="E192">
        <v>398561</v>
      </c>
      <c r="F192" t="s">
        <v>24</v>
      </c>
      <c r="G192" s="9" t="s">
        <v>158</v>
      </c>
      <c r="H192" s="10">
        <v>2.39</v>
      </c>
      <c r="I192" t="s">
        <v>12</v>
      </c>
      <c r="J192">
        <v>368</v>
      </c>
      <c r="K192" s="6">
        <v>44320</v>
      </c>
      <c r="L192" t="s">
        <v>54</v>
      </c>
      <c r="M192">
        <v>42</v>
      </c>
      <c r="N192">
        <v>97</v>
      </c>
      <c r="P192" s="7" t="str">
        <f>IF(Books_DB_F[[#This Row],[Rating F]]&gt;=4.7,"High",IF(Books_DB_F[[#This Row],[Rating F]]&gt;=4.4,"Medium","Low"))</f>
        <v>Medium</v>
      </c>
      <c r="Q192" s="7" t="str">
        <f>IF(Books_DB_F[[#This Row],[Price F($)]]&gt;48,"Premium",IF(Books_DB_F[[#This Row],[Price F($)]]&gt;25,"Mid","Budget"))</f>
        <v>Budget</v>
      </c>
    </row>
    <row r="193" spans="1:17" x14ac:dyDescent="0.25">
      <c r="A193" t="s">
        <v>91</v>
      </c>
      <c r="B193" t="s">
        <v>92</v>
      </c>
      <c r="C193" t="s">
        <v>15</v>
      </c>
      <c r="D193" s="7">
        <v>4.7</v>
      </c>
      <c r="E193">
        <v>13081</v>
      </c>
      <c r="F193" t="s">
        <v>10</v>
      </c>
      <c r="G193" s="9" t="s">
        <v>93</v>
      </c>
      <c r="H193" s="10">
        <v>2.0299999999999998</v>
      </c>
      <c r="I193" t="s">
        <v>94</v>
      </c>
      <c r="J193">
        <v>224</v>
      </c>
      <c r="K193" s="6">
        <v>45223</v>
      </c>
      <c r="L193" t="s">
        <v>61</v>
      </c>
      <c r="M193">
        <v>23</v>
      </c>
      <c r="P193" s="7" t="str">
        <f>IF(Books_DB_F[[#This Row],[Rating F]]&gt;=4.7,"High",IF(Books_DB_F[[#This Row],[Rating F]]&gt;=4.4,"Medium","Low"))</f>
        <v>High</v>
      </c>
      <c r="Q193" s="7" t="str">
        <f>IF(Books_DB_F[[#This Row],[Price F($)]]&gt;48,"Premium",IF(Books_DB_F[[#This Row],[Price F($)]]&gt;25,"Mid","Budget"))</f>
        <v>Budget</v>
      </c>
    </row>
    <row r="194" spans="1:17" x14ac:dyDescent="0.25">
      <c r="A194" t="s">
        <v>142</v>
      </c>
      <c r="B194" t="s">
        <v>143</v>
      </c>
      <c r="C194" t="s">
        <v>57</v>
      </c>
      <c r="D194" s="7">
        <v>4.9000000000000004</v>
      </c>
      <c r="E194">
        <v>31124</v>
      </c>
      <c r="F194" t="s">
        <v>58</v>
      </c>
      <c r="G194" s="9" t="s">
        <v>144</v>
      </c>
      <c r="H194" s="10">
        <v>1.89</v>
      </c>
      <c r="I194" t="s">
        <v>98</v>
      </c>
      <c r="J194">
        <v>34</v>
      </c>
      <c r="K194" s="6">
        <v>33452</v>
      </c>
      <c r="L194" t="s">
        <v>77</v>
      </c>
      <c r="M194">
        <v>37</v>
      </c>
      <c r="O194">
        <v>81</v>
      </c>
      <c r="P194" s="7" t="str">
        <f>IF(Books_DB_F[[#This Row],[Rating F]]&gt;=4.7,"High",IF(Books_DB_F[[#This Row],[Rating F]]&gt;=4.4,"Medium","Low"))</f>
        <v>High</v>
      </c>
      <c r="Q194" s="7" t="str">
        <f>IF(Books_DB_F[[#This Row],[Price F($)]]&gt;48,"Premium",IF(Books_DB_F[[#This Row],[Price F($)]]&gt;25,"Mid","Budget"))</f>
        <v>Budget</v>
      </c>
    </row>
    <row r="195" spans="1:17" x14ac:dyDescent="0.25">
      <c r="A195" t="s">
        <v>317</v>
      </c>
      <c r="B195" t="s">
        <v>318</v>
      </c>
      <c r="C195" t="s">
        <v>9</v>
      </c>
      <c r="D195" s="7">
        <v>4.8</v>
      </c>
      <c r="E195">
        <v>91554</v>
      </c>
      <c r="F195" t="s">
        <v>24</v>
      </c>
      <c r="G195" s="9" t="s">
        <v>144</v>
      </c>
      <c r="H195" s="10">
        <v>1.89</v>
      </c>
      <c r="I195" t="s">
        <v>12</v>
      </c>
      <c r="J195">
        <v>224</v>
      </c>
      <c r="K195" s="6">
        <v>45444</v>
      </c>
      <c r="L195" t="s">
        <v>13</v>
      </c>
      <c r="M195">
        <v>97</v>
      </c>
      <c r="P195" s="7" t="str">
        <f>IF(Books_DB_F[[#This Row],[Rating F]]&gt;=4.7,"High",IF(Books_DB_F[[#This Row],[Rating F]]&gt;=4.4,"Medium","Low"))</f>
        <v>High</v>
      </c>
      <c r="Q195" s="7" t="str">
        <f>IF(Books_DB_F[[#This Row],[Price F($)]]&gt;48,"Premium",IF(Books_DB_F[[#This Row],[Price F($)]]&gt;25,"Mid","Budget"))</f>
        <v>Budget</v>
      </c>
    </row>
    <row r="196" spans="1:17" x14ac:dyDescent="0.25">
      <c r="A196" t="s">
        <v>43</v>
      </c>
      <c r="B196" t="s">
        <v>44</v>
      </c>
      <c r="C196" t="s">
        <v>20</v>
      </c>
      <c r="D196" s="7">
        <v>4.5</v>
      </c>
      <c r="E196">
        <v>228242</v>
      </c>
      <c r="F196" t="s">
        <v>24</v>
      </c>
      <c r="G196" s="9" t="s">
        <v>45</v>
      </c>
      <c r="H196" s="10">
        <v>1.88</v>
      </c>
      <c r="I196" t="s">
        <v>12</v>
      </c>
      <c r="J196">
        <v>336</v>
      </c>
      <c r="K196" s="6">
        <v>44852</v>
      </c>
      <c r="L196" t="s">
        <v>17</v>
      </c>
      <c r="M196">
        <v>9</v>
      </c>
      <c r="N196">
        <v>19</v>
      </c>
      <c r="P196" s="7" t="str">
        <f>IF(Books_DB_F[[#This Row],[Rating F]]&gt;=4.7,"High",IF(Books_DB_F[[#This Row],[Rating F]]&gt;=4.4,"Medium","Low"))</f>
        <v>Medium</v>
      </c>
      <c r="Q196" s="7" t="str">
        <f>IF(Books_DB_F[[#This Row],[Price F($)]]&gt;48,"Premium",IF(Books_DB_F[[#This Row],[Price F($)]]&gt;25,"Mid","Budget"))</f>
        <v>Budget</v>
      </c>
    </row>
    <row r="197" spans="1:17" x14ac:dyDescent="0.25">
      <c r="A197" t="s">
        <v>419</v>
      </c>
      <c r="B197" t="s">
        <v>598</v>
      </c>
      <c r="C197" t="s">
        <v>57</v>
      </c>
      <c r="D197" s="7">
        <v>4.9000000000000004</v>
      </c>
      <c r="E197">
        <v>7914</v>
      </c>
      <c r="F197" t="s">
        <v>58</v>
      </c>
      <c r="G197" s="9" t="s">
        <v>421</v>
      </c>
      <c r="H197" s="10">
        <v>1</v>
      </c>
      <c r="I197" t="s">
        <v>12</v>
      </c>
      <c r="J197">
        <v>20</v>
      </c>
      <c r="K197" s="6">
        <v>42626</v>
      </c>
      <c r="L197" t="s">
        <v>61</v>
      </c>
      <c r="N197">
        <v>72</v>
      </c>
      <c r="P197" s="7" t="str">
        <f>IF(Books_DB_F[[#This Row],[Rating F]]&gt;=4.7,"High",IF(Books_DB_F[[#This Row],[Rating F]]&gt;=4.4,"Medium","Low"))</f>
        <v>High</v>
      </c>
      <c r="Q197" s="7" t="str">
        <f>IF(Books_DB_F[[#This Row],[Price F($)]]&gt;48,"Premium",IF(Books_DB_F[[#This Row],[Price F($)]]&gt;25,"Mid","Budget"))</f>
        <v>Budget</v>
      </c>
    </row>
  </sheetData>
  <conditionalFormatting sqref="D1:D1048576">
    <cfRule type="iconSet" priority="7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F1:F197">
    <cfRule type="containsText" dxfId="5" priority="1" operator="containsText" text="Spiral">
      <formula>NOT(ISERROR(SEARCH("Spiral",F1)))</formula>
    </cfRule>
  </conditionalFormatting>
  <conditionalFormatting sqref="F1:F1048576">
    <cfRule type="containsText" dxfId="4" priority="4" operator="containsText" text="Board">
      <formula>NOT(ISERROR(SEARCH("Board",F1)))</formula>
    </cfRule>
    <cfRule type="containsText" dxfId="3" priority="5" operator="containsText" text="Paper">
      <formula>NOT(ISERROR(SEARCH("Paper",F1)))</formula>
    </cfRule>
    <cfRule type="containsText" dxfId="2" priority="6" operator="containsText" text="Hard">
      <formula>NOT(ISERROR(SEARCH("Hard",F1)))</formula>
    </cfRule>
  </conditionalFormatting>
  <conditionalFormatting sqref="F2:F197">
    <cfRule type="containsText" dxfId="1" priority="2" operator="containsText" text="Imitation">
      <formula>NOT(ISERROR(SEARCH("Imitation",F2)))</formula>
    </cfRule>
    <cfRule type="containsText" dxfId="0" priority="3" operator="containsText" text="Cards">
      <formula>NOT(ISERROR(SEARCH("Cards",F2)))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C4FD-D3D3-4292-B70A-FF685E039386}">
  <dimension ref="A2:J16"/>
  <sheetViews>
    <sheetView topLeftCell="A2" workbookViewId="0">
      <selection activeCell="A19" sqref="A19"/>
    </sheetView>
  </sheetViews>
  <sheetFormatPr defaultRowHeight="15" x14ac:dyDescent="0.25"/>
  <cols>
    <col min="1" max="1" width="18.140625" bestFit="1" customWidth="1"/>
    <col min="5" max="5" width="18.140625" bestFit="1" customWidth="1"/>
    <col min="9" max="9" width="18.140625" bestFit="1" customWidth="1"/>
  </cols>
  <sheetData>
    <row r="2" spans="1:10" ht="15.75" thickBot="1" x14ac:dyDescent="0.3"/>
    <row r="3" spans="1:10" x14ac:dyDescent="0.25">
      <c r="A3" s="28" t="s">
        <v>642</v>
      </c>
      <c r="B3" s="29"/>
      <c r="E3" s="28" t="s">
        <v>643</v>
      </c>
      <c r="F3" s="29"/>
      <c r="I3" s="28" t="s">
        <v>579</v>
      </c>
      <c r="J3" s="29"/>
    </row>
    <row r="4" spans="1:10" x14ac:dyDescent="0.25">
      <c r="A4" s="30" t="s">
        <v>629</v>
      </c>
      <c r="B4" s="31">
        <v>11.983826530612239</v>
      </c>
      <c r="E4" s="30" t="s">
        <v>629</v>
      </c>
      <c r="F4" s="31">
        <v>4.6525510204081595</v>
      </c>
      <c r="I4" s="30" t="s">
        <v>629</v>
      </c>
      <c r="J4" s="31">
        <v>85525.423469387752</v>
      </c>
    </row>
    <row r="5" spans="1:10" x14ac:dyDescent="0.25">
      <c r="A5" s="30" t="s">
        <v>630</v>
      </c>
      <c r="B5" s="31">
        <v>0.52787251163770743</v>
      </c>
      <c r="E5" s="30" t="s">
        <v>630</v>
      </c>
      <c r="F5" s="31">
        <v>1.2928904828230984E-2</v>
      </c>
      <c r="I5" s="30" t="s">
        <v>630</v>
      </c>
      <c r="J5" s="31">
        <v>7718.6831220666327</v>
      </c>
    </row>
    <row r="6" spans="1:10" x14ac:dyDescent="0.25">
      <c r="A6" s="30" t="s">
        <v>631</v>
      </c>
      <c r="B6" s="31">
        <v>10.43</v>
      </c>
      <c r="E6" s="30" t="s">
        <v>631</v>
      </c>
      <c r="F6" s="31">
        <v>4.7</v>
      </c>
      <c r="I6" s="30" t="s">
        <v>631</v>
      </c>
      <c r="J6" s="31">
        <v>38471.5</v>
      </c>
    </row>
    <row r="7" spans="1:10" x14ac:dyDescent="0.25">
      <c r="A7" s="30" t="s">
        <v>632</v>
      </c>
      <c r="B7" s="31">
        <v>9.99</v>
      </c>
      <c r="E7" s="30" t="s">
        <v>632</v>
      </c>
      <c r="F7" s="31">
        <v>4.8</v>
      </c>
      <c r="I7" s="30" t="s">
        <v>632</v>
      </c>
      <c r="J7" s="31" t="e">
        <v>#N/A</v>
      </c>
    </row>
    <row r="8" spans="1:10" x14ac:dyDescent="0.25">
      <c r="A8" s="30" t="s">
        <v>633</v>
      </c>
      <c r="B8" s="31">
        <v>7.3902151629279045</v>
      </c>
      <c r="E8" s="30" t="s">
        <v>633</v>
      </c>
      <c r="F8" s="31">
        <v>0.18100466759523376</v>
      </c>
      <c r="I8" s="30" t="s">
        <v>633</v>
      </c>
      <c r="J8" s="31">
        <v>108061.56370893285</v>
      </c>
    </row>
    <row r="9" spans="1:10" x14ac:dyDescent="0.25">
      <c r="A9" s="30" t="s">
        <v>634</v>
      </c>
      <c r="B9" s="31">
        <v>54.615280154369508</v>
      </c>
      <c r="E9" s="30" t="s">
        <v>634</v>
      </c>
      <c r="F9" s="31">
        <v>3.2762689691261067E-2</v>
      </c>
      <c r="I9" s="30" t="s">
        <v>634</v>
      </c>
      <c r="J9" s="31">
        <v>11677301551.219753</v>
      </c>
    </row>
    <row r="10" spans="1:10" x14ac:dyDescent="0.25">
      <c r="A10" s="30" t="s">
        <v>635</v>
      </c>
      <c r="B10" s="31">
        <v>7.7448062276674943</v>
      </c>
      <c r="E10" s="30" t="s">
        <v>635</v>
      </c>
      <c r="F10" s="31">
        <v>0.18116280523980421</v>
      </c>
      <c r="I10" s="30" t="s">
        <v>635</v>
      </c>
      <c r="J10" s="31">
        <v>5.2731984459758703</v>
      </c>
    </row>
    <row r="11" spans="1:10" x14ac:dyDescent="0.25">
      <c r="A11" s="30" t="s">
        <v>636</v>
      </c>
      <c r="B11" s="31">
        <v>2.1272425081182571</v>
      </c>
      <c r="E11" s="30" t="s">
        <v>636</v>
      </c>
      <c r="F11" s="31">
        <v>-0.84628324945036204</v>
      </c>
      <c r="I11" s="30" t="s">
        <v>636</v>
      </c>
      <c r="J11" s="31">
        <v>2.1280760253217448</v>
      </c>
    </row>
    <row r="12" spans="1:10" x14ac:dyDescent="0.25">
      <c r="A12" s="30" t="s">
        <v>637</v>
      </c>
      <c r="B12" s="31">
        <v>51.62</v>
      </c>
      <c r="E12" s="30" t="s">
        <v>637</v>
      </c>
      <c r="F12" s="31">
        <v>0.80000000000000071</v>
      </c>
      <c r="I12" s="30" t="s">
        <v>637</v>
      </c>
      <c r="J12" s="31">
        <v>652635</v>
      </c>
    </row>
    <row r="13" spans="1:10" x14ac:dyDescent="0.25">
      <c r="A13" s="30" t="s">
        <v>638</v>
      </c>
      <c r="B13" s="31">
        <v>1</v>
      </c>
      <c r="E13" s="30" t="s">
        <v>638</v>
      </c>
      <c r="F13" s="31">
        <v>4.0999999999999996</v>
      </c>
      <c r="I13" s="30" t="s">
        <v>638</v>
      </c>
      <c r="J13" s="31">
        <v>476</v>
      </c>
    </row>
    <row r="14" spans="1:10" x14ac:dyDescent="0.25">
      <c r="A14" s="30" t="s">
        <v>639</v>
      </c>
      <c r="B14" s="31">
        <v>52.62</v>
      </c>
      <c r="E14" s="30" t="s">
        <v>639</v>
      </c>
      <c r="F14" s="31">
        <v>4.9000000000000004</v>
      </c>
      <c r="I14" s="30" t="s">
        <v>639</v>
      </c>
      <c r="J14" s="31">
        <v>653111</v>
      </c>
    </row>
    <row r="15" spans="1:10" x14ac:dyDescent="0.25">
      <c r="A15" s="30" t="s">
        <v>640</v>
      </c>
      <c r="B15" s="31">
        <v>2348.829999999999</v>
      </c>
      <c r="E15" s="30" t="s">
        <v>640</v>
      </c>
      <c r="F15" s="31">
        <v>911.8999999999993</v>
      </c>
      <c r="I15" s="30" t="s">
        <v>640</v>
      </c>
      <c r="J15" s="31">
        <v>16762983</v>
      </c>
    </row>
    <row r="16" spans="1:10" ht="15.75" thickBot="1" x14ac:dyDescent="0.3">
      <c r="A16" s="32" t="s">
        <v>641</v>
      </c>
      <c r="B16" s="33">
        <v>196</v>
      </c>
      <c r="E16" s="32" t="s">
        <v>641</v>
      </c>
      <c r="F16" s="33">
        <v>196</v>
      </c>
      <c r="I16" s="32" t="s">
        <v>641</v>
      </c>
      <c r="J16" s="33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6BDE-65F2-4C4A-8AFB-F12AB9D12C4F}">
  <dimension ref="A1:G362"/>
  <sheetViews>
    <sheetView topLeftCell="A148" workbookViewId="0">
      <selection activeCell="E161" sqref="E161"/>
    </sheetView>
  </sheetViews>
  <sheetFormatPr defaultRowHeight="15" x14ac:dyDescent="0.25"/>
  <cols>
    <col min="1" max="1" width="37.85546875" bestFit="1" customWidth="1"/>
    <col min="2" max="2" width="19.140625" bestFit="1" customWidth="1"/>
    <col min="3" max="3" width="21" bestFit="1" customWidth="1"/>
    <col min="4" max="4" width="20.140625" bestFit="1" customWidth="1"/>
    <col min="5" max="5" width="18.28515625" bestFit="1" customWidth="1"/>
    <col min="6" max="6" width="21" bestFit="1" customWidth="1"/>
    <col min="7" max="10" width="2" bestFit="1" customWidth="1"/>
    <col min="11" max="96" width="3" bestFit="1" customWidth="1"/>
    <col min="97" max="97" width="7.28515625" bestFit="1" customWidth="1"/>
    <col min="98" max="98" width="11.28515625" bestFit="1" customWidth="1"/>
    <col min="99" max="99" width="7.85546875" bestFit="1" customWidth="1"/>
    <col min="100" max="100" width="7.28515625" bestFit="1" customWidth="1"/>
    <col min="101" max="101" width="7.85546875" bestFit="1" customWidth="1"/>
    <col min="102" max="102" width="4.85546875" bestFit="1" customWidth="1"/>
    <col min="103" max="103" width="7.85546875" bestFit="1" customWidth="1"/>
    <col min="104" max="104" width="4.85546875" bestFit="1" customWidth="1"/>
    <col min="105" max="105" width="7.85546875" bestFit="1" customWidth="1"/>
    <col min="106" max="106" width="4.85546875" bestFit="1" customWidth="1"/>
    <col min="107" max="107" width="7.85546875" bestFit="1" customWidth="1"/>
    <col min="108" max="108" width="7.28515625" bestFit="1" customWidth="1"/>
    <col min="109" max="109" width="7.85546875" bestFit="1" customWidth="1"/>
    <col min="110" max="110" width="7.28515625" bestFit="1" customWidth="1"/>
    <col min="111" max="111" width="7.85546875" bestFit="1" customWidth="1"/>
    <col min="112" max="112" width="7.28515625" bestFit="1" customWidth="1"/>
    <col min="113" max="113" width="7.85546875" bestFit="1" customWidth="1"/>
    <col min="114" max="114" width="7.28515625" bestFit="1" customWidth="1"/>
    <col min="115" max="115" width="7.85546875" bestFit="1" customWidth="1"/>
    <col min="116" max="116" width="7.28515625" bestFit="1" customWidth="1"/>
    <col min="117" max="117" width="7.85546875" bestFit="1" customWidth="1"/>
    <col min="118" max="118" width="4.85546875" bestFit="1" customWidth="1"/>
    <col min="119" max="119" width="7.85546875" bestFit="1" customWidth="1"/>
    <col min="120" max="120" width="7.28515625" bestFit="1" customWidth="1"/>
    <col min="121" max="121" width="7.85546875" bestFit="1" customWidth="1"/>
    <col min="122" max="122" width="7.28515625" bestFit="1" customWidth="1"/>
    <col min="123" max="123" width="7.85546875" bestFit="1" customWidth="1"/>
    <col min="124" max="124" width="7.28515625" bestFit="1" customWidth="1"/>
    <col min="125" max="125" width="7.85546875" bestFit="1" customWidth="1"/>
    <col min="126" max="126" width="4.85546875" bestFit="1" customWidth="1"/>
    <col min="127" max="127" width="7.85546875" bestFit="1" customWidth="1"/>
    <col min="128" max="128" width="7.28515625" bestFit="1" customWidth="1"/>
    <col min="129" max="129" width="7.85546875" bestFit="1" customWidth="1"/>
    <col min="130" max="130" width="7.28515625" bestFit="1" customWidth="1"/>
    <col min="131" max="131" width="7.85546875" bestFit="1" customWidth="1"/>
    <col min="132" max="132" width="4.85546875" bestFit="1" customWidth="1"/>
    <col min="133" max="133" width="7.85546875" bestFit="1" customWidth="1"/>
    <col min="134" max="134" width="7.28515625" bestFit="1" customWidth="1"/>
    <col min="135" max="135" width="7.85546875" bestFit="1" customWidth="1"/>
    <col min="136" max="136" width="4.85546875" bestFit="1" customWidth="1"/>
    <col min="137" max="137" width="7.85546875" bestFit="1" customWidth="1"/>
    <col min="138" max="138" width="4.85546875" bestFit="1" customWidth="1"/>
    <col min="139" max="139" width="7.85546875" bestFit="1" customWidth="1"/>
    <col min="140" max="140" width="4.85546875" bestFit="1" customWidth="1"/>
    <col min="141" max="141" width="7.85546875" bestFit="1" customWidth="1"/>
    <col min="142" max="142" width="7.28515625" bestFit="1" customWidth="1"/>
    <col min="143" max="143" width="7.85546875" bestFit="1" customWidth="1"/>
    <col min="144" max="144" width="7.28515625" bestFit="1" customWidth="1"/>
    <col min="145" max="145" width="7.85546875" bestFit="1" customWidth="1"/>
    <col min="146" max="146" width="7.28515625" bestFit="1" customWidth="1"/>
    <col min="147" max="147" width="7.85546875" bestFit="1" customWidth="1"/>
    <col min="148" max="148" width="4.85546875" bestFit="1" customWidth="1"/>
    <col min="149" max="149" width="7.85546875" bestFit="1" customWidth="1"/>
    <col min="150" max="150" width="4.85546875" bestFit="1" customWidth="1"/>
    <col min="151" max="151" width="7.85546875" bestFit="1" customWidth="1"/>
    <col min="152" max="152" width="7.28515625" bestFit="1" customWidth="1"/>
    <col min="153" max="153" width="7.85546875" bestFit="1" customWidth="1"/>
    <col min="154" max="154" width="4.85546875" bestFit="1" customWidth="1"/>
    <col min="155" max="155" width="7.85546875" bestFit="1" customWidth="1"/>
    <col min="156" max="156" width="7.28515625" bestFit="1" customWidth="1"/>
    <col min="157" max="157" width="7.85546875" bestFit="1" customWidth="1"/>
    <col min="158" max="158" width="4.85546875" bestFit="1" customWidth="1"/>
    <col min="159" max="159" width="7.85546875" bestFit="1" customWidth="1"/>
    <col min="160" max="160" width="7.28515625" bestFit="1" customWidth="1"/>
    <col min="161" max="161" width="7.85546875" bestFit="1" customWidth="1"/>
    <col min="162" max="162" width="7.28515625" bestFit="1" customWidth="1"/>
    <col min="163" max="163" width="7.85546875" bestFit="1" customWidth="1"/>
    <col min="164" max="164" width="4.85546875" bestFit="1" customWidth="1"/>
    <col min="165" max="165" width="7.85546875" bestFit="1" customWidth="1"/>
    <col min="166" max="166" width="4.85546875" bestFit="1" customWidth="1"/>
    <col min="167" max="167" width="7.85546875" bestFit="1" customWidth="1"/>
    <col min="168" max="168" width="4.85546875" bestFit="1" customWidth="1"/>
    <col min="169" max="169" width="7.85546875" bestFit="1" customWidth="1"/>
    <col min="170" max="170" width="7.28515625" bestFit="1" customWidth="1"/>
    <col min="171" max="171" width="7.85546875" bestFit="1" customWidth="1"/>
    <col min="172" max="172" width="7.28515625" bestFit="1" customWidth="1"/>
    <col min="173" max="173" width="7.85546875" bestFit="1" customWidth="1"/>
    <col min="174" max="174" width="7.28515625" bestFit="1" customWidth="1"/>
    <col min="175" max="175" width="7.85546875" bestFit="1" customWidth="1"/>
    <col min="176" max="176" width="7.28515625" bestFit="1" customWidth="1"/>
    <col min="177" max="177" width="7.85546875" bestFit="1" customWidth="1"/>
    <col min="178" max="178" width="7.28515625" bestFit="1" customWidth="1"/>
    <col min="179" max="179" width="7.85546875" bestFit="1" customWidth="1"/>
    <col min="180" max="180" width="4.85546875" bestFit="1" customWidth="1"/>
    <col min="181" max="181" width="7.85546875" bestFit="1" customWidth="1"/>
    <col min="182" max="182" width="7.28515625" bestFit="1" customWidth="1"/>
    <col min="183" max="183" width="7.85546875" bestFit="1" customWidth="1"/>
    <col min="184" max="184" width="4.85546875" bestFit="1" customWidth="1"/>
    <col min="185" max="185" width="7.85546875" bestFit="1" customWidth="1"/>
    <col min="186" max="186" width="7.28515625" bestFit="1" customWidth="1"/>
    <col min="187" max="187" width="7.85546875" bestFit="1" customWidth="1"/>
    <col min="188" max="188" width="7.28515625" bestFit="1" customWidth="1"/>
    <col min="189" max="189" width="7.85546875" bestFit="1" customWidth="1"/>
    <col min="190" max="190" width="7.28515625" bestFit="1" customWidth="1"/>
    <col min="191" max="191" width="7.85546875" bestFit="1" customWidth="1"/>
    <col min="192" max="192" width="4.85546875" bestFit="1" customWidth="1"/>
    <col min="193" max="193" width="7.85546875" bestFit="1" customWidth="1"/>
    <col min="194" max="194" width="7.28515625" bestFit="1" customWidth="1"/>
    <col min="195" max="195" width="8.85546875" bestFit="1" customWidth="1"/>
    <col min="196" max="196" width="9.140625" bestFit="1" customWidth="1"/>
    <col min="197" max="199" width="2" bestFit="1" customWidth="1"/>
    <col min="200" max="241" width="3" bestFit="1" customWidth="1"/>
    <col min="242" max="242" width="7.28515625" bestFit="1" customWidth="1"/>
    <col min="243" max="243" width="12.140625" bestFit="1" customWidth="1"/>
    <col min="244" max="244" width="11.28515625" bestFit="1" customWidth="1"/>
    <col min="245" max="245" width="9.140625" bestFit="1" customWidth="1"/>
    <col min="246" max="246" width="12.140625" bestFit="1" customWidth="1"/>
    <col min="247" max="247" width="7.85546875" bestFit="1" customWidth="1"/>
    <col min="248" max="248" width="9.140625" bestFit="1" customWidth="1"/>
    <col min="249" max="249" width="12.140625" bestFit="1" customWidth="1"/>
    <col min="250" max="250" width="7.85546875" bestFit="1" customWidth="1"/>
    <col min="251" max="251" width="7.28515625" bestFit="1" customWidth="1"/>
    <col min="252" max="253" width="7.85546875" bestFit="1" customWidth="1"/>
    <col min="254" max="254" width="9.140625" bestFit="1" customWidth="1"/>
    <col min="255" max="255" width="12.140625" bestFit="1" customWidth="1"/>
    <col min="256" max="256" width="7.85546875" bestFit="1" customWidth="1"/>
    <col min="257" max="257" width="9.140625" bestFit="1" customWidth="1"/>
    <col min="258" max="258" width="12.140625" bestFit="1" customWidth="1"/>
    <col min="259" max="259" width="7.85546875" bestFit="1" customWidth="1"/>
    <col min="260" max="260" width="9.140625" bestFit="1" customWidth="1"/>
    <col min="261" max="261" width="12.140625" bestFit="1" customWidth="1"/>
    <col min="262" max="262" width="7.85546875" bestFit="1" customWidth="1"/>
    <col min="263" max="263" width="9.140625" bestFit="1" customWidth="1"/>
    <col min="264" max="264" width="12.140625" bestFit="1" customWidth="1"/>
    <col min="265" max="265" width="7.85546875" bestFit="1" customWidth="1"/>
    <col min="266" max="266" width="9.140625" bestFit="1" customWidth="1"/>
    <col min="267" max="267" width="12.140625" bestFit="1" customWidth="1"/>
    <col min="268" max="268" width="7.85546875" bestFit="1" customWidth="1"/>
    <col min="269" max="269" width="9.140625" bestFit="1" customWidth="1"/>
    <col min="270" max="270" width="12.140625" bestFit="1" customWidth="1"/>
    <col min="271" max="271" width="7.85546875" bestFit="1" customWidth="1"/>
    <col min="272" max="272" width="9.140625" bestFit="1" customWidth="1"/>
    <col min="273" max="273" width="12.140625" bestFit="1" customWidth="1"/>
    <col min="274" max="274" width="7.85546875" bestFit="1" customWidth="1"/>
    <col min="275" max="275" width="9.140625" bestFit="1" customWidth="1"/>
    <col min="276" max="276" width="12.140625" bestFit="1" customWidth="1"/>
    <col min="277" max="277" width="7.85546875" bestFit="1" customWidth="1"/>
    <col min="278" max="278" width="9.140625" bestFit="1" customWidth="1"/>
    <col min="279" max="279" width="12.140625" bestFit="1" customWidth="1"/>
    <col min="280" max="280" width="7.85546875" bestFit="1" customWidth="1"/>
    <col min="281" max="281" width="4.85546875" bestFit="1" customWidth="1"/>
    <col min="282" max="283" width="7.85546875" bestFit="1" customWidth="1"/>
    <col min="284" max="284" width="9.140625" bestFit="1" customWidth="1"/>
    <col min="285" max="285" width="12.140625" bestFit="1" customWidth="1"/>
    <col min="286" max="286" width="7.85546875" bestFit="1" customWidth="1"/>
    <col min="287" max="287" width="4.85546875" bestFit="1" customWidth="1"/>
    <col min="288" max="289" width="7.85546875" bestFit="1" customWidth="1"/>
    <col min="290" max="290" width="9.140625" bestFit="1" customWidth="1"/>
    <col min="291" max="291" width="12.140625" bestFit="1" customWidth="1"/>
    <col min="292" max="292" width="7.85546875" bestFit="1" customWidth="1"/>
    <col min="293" max="293" width="4.85546875" bestFit="1" customWidth="1"/>
    <col min="294" max="295" width="7.85546875" bestFit="1" customWidth="1"/>
    <col min="296" max="296" width="9.140625" bestFit="1" customWidth="1"/>
    <col min="297" max="297" width="12.140625" bestFit="1" customWidth="1"/>
    <col min="298" max="298" width="7.85546875" bestFit="1" customWidth="1"/>
    <col min="299" max="299" width="7.28515625" bestFit="1" customWidth="1"/>
    <col min="300" max="300" width="7.85546875" bestFit="1" customWidth="1"/>
    <col min="301" max="301" width="8.85546875" bestFit="1" customWidth="1"/>
    <col min="302" max="302" width="9.140625" bestFit="1" customWidth="1"/>
    <col min="303" max="303" width="6.85546875" bestFit="1" customWidth="1"/>
    <col min="304" max="304" width="3.85546875" bestFit="1" customWidth="1"/>
    <col min="305" max="305" width="6.85546875" bestFit="1" customWidth="1"/>
    <col min="306" max="306" width="7.28515625" bestFit="1" customWidth="1"/>
    <col min="307" max="307" width="6.85546875" bestFit="1" customWidth="1"/>
    <col min="308" max="308" width="3.85546875" bestFit="1" customWidth="1"/>
    <col min="309" max="309" width="6.85546875" bestFit="1" customWidth="1"/>
    <col min="310" max="310" width="7.28515625" bestFit="1" customWidth="1"/>
    <col min="311" max="311" width="6.85546875" bestFit="1" customWidth="1"/>
    <col min="312" max="312" width="3.85546875" bestFit="1" customWidth="1"/>
    <col min="313" max="313" width="6.85546875" bestFit="1" customWidth="1"/>
    <col min="314" max="314" width="7.28515625" bestFit="1" customWidth="1"/>
    <col min="315" max="315" width="7.85546875" bestFit="1" customWidth="1"/>
    <col min="316" max="316" width="7.28515625" bestFit="1" customWidth="1"/>
    <col min="317" max="317" width="7.85546875" bestFit="1" customWidth="1"/>
    <col min="318" max="318" width="7.28515625" bestFit="1" customWidth="1"/>
    <col min="319" max="319" width="7.85546875" bestFit="1" customWidth="1"/>
    <col min="320" max="320" width="4.85546875" bestFit="1" customWidth="1"/>
    <col min="321" max="321" width="7.85546875" bestFit="1" customWidth="1"/>
    <col min="322" max="322" width="7.28515625" bestFit="1" customWidth="1"/>
    <col min="323" max="323" width="7.85546875" bestFit="1" customWidth="1"/>
    <col min="324" max="324" width="4.85546875" bestFit="1" customWidth="1"/>
    <col min="325" max="325" width="7.85546875" bestFit="1" customWidth="1"/>
    <col min="326" max="326" width="4.85546875" bestFit="1" customWidth="1"/>
    <col min="327" max="327" width="7.85546875" bestFit="1" customWidth="1"/>
    <col min="328" max="328" width="4.85546875" bestFit="1" customWidth="1"/>
    <col min="329" max="329" width="7.85546875" bestFit="1" customWidth="1"/>
    <col min="330" max="330" width="4.85546875" bestFit="1" customWidth="1"/>
    <col min="331" max="331" width="7.85546875" bestFit="1" customWidth="1"/>
    <col min="332" max="332" width="4.85546875" bestFit="1" customWidth="1"/>
    <col min="333" max="333" width="7.85546875" bestFit="1" customWidth="1"/>
    <col min="334" max="334" width="7.28515625" bestFit="1" customWidth="1"/>
    <col min="335" max="335" width="7.85546875" bestFit="1" customWidth="1"/>
    <col min="336" max="336" width="4.85546875" bestFit="1" customWidth="1"/>
    <col min="337" max="337" width="7.85546875" bestFit="1" customWidth="1"/>
    <col min="338" max="338" width="4.85546875" bestFit="1" customWidth="1"/>
    <col min="339" max="339" width="7.85546875" bestFit="1" customWidth="1"/>
    <col min="340" max="340" width="4.85546875" bestFit="1" customWidth="1"/>
    <col min="341" max="341" width="7.85546875" bestFit="1" customWidth="1"/>
    <col min="342" max="342" width="4.85546875" bestFit="1" customWidth="1"/>
    <col min="343" max="343" width="7.85546875" bestFit="1" customWidth="1"/>
    <col min="344" max="344" width="7.28515625" bestFit="1" customWidth="1"/>
    <col min="345" max="345" width="7.85546875" bestFit="1" customWidth="1"/>
    <col min="346" max="346" width="4.85546875" bestFit="1" customWidth="1"/>
    <col min="347" max="347" width="7.85546875" bestFit="1" customWidth="1"/>
    <col min="348" max="348" width="7.28515625" bestFit="1" customWidth="1"/>
    <col min="349" max="349" width="7.85546875" bestFit="1" customWidth="1"/>
    <col min="350" max="350" width="7.28515625" bestFit="1" customWidth="1"/>
    <col min="351" max="351" width="7.85546875" bestFit="1" customWidth="1"/>
    <col min="352" max="352" width="7.28515625" bestFit="1" customWidth="1"/>
    <col min="353" max="353" width="7.85546875" bestFit="1" customWidth="1"/>
    <col min="354" max="354" width="7.28515625" bestFit="1" customWidth="1"/>
    <col min="355" max="355" width="7.85546875" bestFit="1" customWidth="1"/>
    <col min="356" max="356" width="7.28515625" bestFit="1" customWidth="1"/>
    <col min="357" max="357" width="7.85546875" bestFit="1" customWidth="1"/>
    <col min="358" max="358" width="7.28515625" bestFit="1" customWidth="1"/>
    <col min="359" max="359" width="7.85546875" bestFit="1" customWidth="1"/>
    <col min="360" max="360" width="7.28515625" bestFit="1" customWidth="1"/>
    <col min="361" max="361" width="7.85546875" bestFit="1" customWidth="1"/>
    <col min="362" max="362" width="7.28515625" bestFit="1" customWidth="1"/>
    <col min="363" max="363" width="7.85546875" bestFit="1" customWidth="1"/>
    <col min="364" max="364" width="4.85546875" bestFit="1" customWidth="1"/>
    <col min="365" max="365" width="7.85546875" bestFit="1" customWidth="1"/>
    <col min="366" max="366" width="7.28515625" bestFit="1" customWidth="1"/>
    <col min="367" max="367" width="7.85546875" bestFit="1" customWidth="1"/>
    <col min="368" max="368" width="4.85546875" bestFit="1" customWidth="1"/>
    <col min="369" max="369" width="7.85546875" bestFit="1" customWidth="1"/>
    <col min="370" max="370" width="4.85546875" bestFit="1" customWidth="1"/>
    <col min="371" max="371" width="7.85546875" bestFit="1" customWidth="1"/>
    <col min="372" max="372" width="7.28515625" bestFit="1" customWidth="1"/>
    <col min="373" max="373" width="7.85546875" bestFit="1" customWidth="1"/>
    <col min="374" max="374" width="7.28515625" bestFit="1" customWidth="1"/>
    <col min="375" max="375" width="7.85546875" bestFit="1" customWidth="1"/>
    <col min="376" max="376" width="7.28515625" bestFit="1" customWidth="1"/>
    <col min="377" max="377" width="7.85546875" bestFit="1" customWidth="1"/>
    <col min="378" max="378" width="4.85546875" bestFit="1" customWidth="1"/>
    <col min="379" max="379" width="7.85546875" bestFit="1" customWidth="1"/>
    <col min="380" max="380" width="4.85546875" bestFit="1" customWidth="1"/>
    <col min="381" max="381" width="7.85546875" bestFit="1" customWidth="1"/>
    <col min="382" max="382" width="7.28515625" bestFit="1" customWidth="1"/>
    <col min="383" max="383" width="7.85546875" bestFit="1" customWidth="1"/>
    <col min="384" max="384" width="7.28515625" bestFit="1" customWidth="1"/>
    <col min="385" max="385" width="7.85546875" bestFit="1" customWidth="1"/>
    <col min="386" max="386" width="4.85546875" bestFit="1" customWidth="1"/>
    <col min="387" max="387" width="7.85546875" bestFit="1" customWidth="1"/>
    <col min="388" max="388" width="4.85546875" bestFit="1" customWidth="1"/>
    <col min="389" max="389" width="7.85546875" bestFit="1" customWidth="1"/>
    <col min="390" max="390" width="4.85546875" bestFit="1" customWidth="1"/>
    <col min="391" max="391" width="7.85546875" bestFit="1" customWidth="1"/>
    <col min="392" max="392" width="7.28515625" bestFit="1" customWidth="1"/>
    <col min="393" max="393" width="7.85546875" bestFit="1" customWidth="1"/>
    <col min="394" max="394" width="7.28515625" bestFit="1" customWidth="1"/>
    <col min="395" max="395" width="7.85546875" bestFit="1" customWidth="1"/>
    <col min="396" max="396" width="4.85546875" bestFit="1" customWidth="1"/>
    <col min="397" max="397" width="7.85546875" bestFit="1" customWidth="1"/>
    <col min="398" max="398" width="4.85546875" bestFit="1" customWidth="1"/>
    <col min="399" max="399" width="7.85546875" bestFit="1" customWidth="1"/>
    <col min="400" max="400" width="7.28515625" bestFit="1" customWidth="1"/>
    <col min="401" max="401" width="7.85546875" bestFit="1" customWidth="1"/>
    <col min="402" max="402" width="7.28515625" bestFit="1" customWidth="1"/>
    <col min="403" max="403" width="7.85546875" bestFit="1" customWidth="1"/>
    <col min="404" max="404" width="4.85546875" bestFit="1" customWidth="1"/>
    <col min="405" max="405" width="7.85546875" bestFit="1" customWidth="1"/>
    <col min="406" max="406" width="9.140625" bestFit="1" customWidth="1"/>
    <col min="407" max="409" width="2" bestFit="1" customWidth="1"/>
    <col min="410" max="449" width="3" bestFit="1" customWidth="1"/>
    <col min="450" max="451" width="12.140625" bestFit="1" customWidth="1"/>
    <col min="452" max="452" width="11.28515625" bestFit="1" customWidth="1"/>
    <col min="453" max="453" width="7.140625" bestFit="1" customWidth="1"/>
    <col min="454" max="457" width="6.140625" bestFit="1" customWidth="1"/>
    <col min="458" max="458" width="7.140625" bestFit="1" customWidth="1"/>
    <col min="459" max="460" width="6.140625" bestFit="1" customWidth="1"/>
    <col min="461" max="462" width="7.140625" bestFit="1" customWidth="1"/>
    <col min="463" max="465" width="6.140625" bestFit="1" customWidth="1"/>
    <col min="466" max="467" width="7.140625" bestFit="1" customWidth="1"/>
    <col min="468" max="469" width="12.140625" bestFit="1" customWidth="1"/>
    <col min="470" max="470" width="11.28515625" bestFit="1" customWidth="1"/>
  </cols>
  <sheetData>
    <row r="1" spans="1:6" ht="18.75" x14ac:dyDescent="0.3">
      <c r="A1" s="13" t="s">
        <v>606</v>
      </c>
    </row>
    <row r="3" spans="1:6" x14ac:dyDescent="0.25">
      <c r="A3" s="11" t="s">
        <v>608</v>
      </c>
      <c r="B3" s="8" t="s">
        <v>607</v>
      </c>
      <c r="C3" s="8" t="s">
        <v>614</v>
      </c>
      <c r="E3" s="24" t="s">
        <v>607</v>
      </c>
      <c r="F3" s="24" t="s">
        <v>614</v>
      </c>
    </row>
    <row r="4" spans="1:6" x14ac:dyDescent="0.25">
      <c r="A4" s="12" t="s">
        <v>143</v>
      </c>
      <c r="B4" s="14">
        <v>4.9000000000000004</v>
      </c>
      <c r="C4" s="17">
        <v>31124</v>
      </c>
      <c r="E4" s="14">
        <v>4.9000000000000004</v>
      </c>
      <c r="F4" s="17">
        <v>31124</v>
      </c>
    </row>
    <row r="5" spans="1:6" x14ac:dyDescent="0.25">
      <c r="A5" s="12" t="s">
        <v>551</v>
      </c>
      <c r="B5" s="14">
        <v>4.9000000000000004</v>
      </c>
      <c r="C5" s="17">
        <v>19727</v>
      </c>
      <c r="E5" s="14">
        <v>4.9000000000000004</v>
      </c>
      <c r="F5" s="17">
        <v>19727</v>
      </c>
    </row>
    <row r="6" spans="1:6" x14ac:dyDescent="0.25">
      <c r="A6" s="12" t="s">
        <v>151</v>
      </c>
      <c r="B6" s="14">
        <v>4.9000000000000004</v>
      </c>
      <c r="C6" s="17">
        <v>32274</v>
      </c>
      <c r="E6" s="14">
        <v>4.9000000000000004</v>
      </c>
      <c r="F6" s="17">
        <v>32274</v>
      </c>
    </row>
    <row r="7" spans="1:6" x14ac:dyDescent="0.25">
      <c r="A7" s="12" t="s">
        <v>96</v>
      </c>
      <c r="B7" s="14">
        <v>4.9000000000000004</v>
      </c>
      <c r="C7" s="17">
        <v>80263</v>
      </c>
      <c r="E7" s="14">
        <v>4.9000000000000004</v>
      </c>
      <c r="F7" s="17">
        <v>80263</v>
      </c>
    </row>
    <row r="8" spans="1:6" x14ac:dyDescent="0.25">
      <c r="A8" s="12" t="s">
        <v>74</v>
      </c>
      <c r="B8" s="14">
        <v>4.9000000000000004</v>
      </c>
      <c r="C8" s="17">
        <v>9344</v>
      </c>
      <c r="E8" s="14">
        <v>4.9000000000000004</v>
      </c>
      <c r="F8" s="17">
        <v>9344</v>
      </c>
    </row>
    <row r="9" spans="1:6" x14ac:dyDescent="0.25">
      <c r="A9" s="12" t="s">
        <v>114</v>
      </c>
      <c r="B9" s="14">
        <v>4.9000000000000004</v>
      </c>
      <c r="C9" s="17">
        <v>13217</v>
      </c>
      <c r="E9" s="14">
        <v>4.9000000000000004</v>
      </c>
      <c r="F9" s="17">
        <v>13217</v>
      </c>
    </row>
    <row r="10" spans="1:6" x14ac:dyDescent="0.25">
      <c r="A10" s="12" t="s">
        <v>118</v>
      </c>
      <c r="B10" s="14">
        <v>4.9000000000000004</v>
      </c>
      <c r="C10" s="17">
        <v>14622</v>
      </c>
      <c r="E10" s="14">
        <v>4.9000000000000004</v>
      </c>
      <c r="F10" s="17">
        <v>14622</v>
      </c>
    </row>
    <row r="11" spans="1:6" x14ac:dyDescent="0.25">
      <c r="A11" s="12" t="s">
        <v>214</v>
      </c>
      <c r="B11" s="14">
        <v>4.9000000000000004</v>
      </c>
      <c r="C11" s="17">
        <v>41314</v>
      </c>
      <c r="E11" s="14">
        <v>4.9000000000000004</v>
      </c>
      <c r="F11" s="17">
        <v>41314</v>
      </c>
    </row>
    <row r="12" spans="1:6" x14ac:dyDescent="0.25">
      <c r="A12" s="12" t="s">
        <v>56</v>
      </c>
      <c r="B12" s="14">
        <v>4.9000000000000004</v>
      </c>
      <c r="C12" s="17">
        <v>78436</v>
      </c>
      <c r="E12" s="14">
        <v>4.9000000000000004</v>
      </c>
      <c r="F12" s="17">
        <v>78436</v>
      </c>
    </row>
    <row r="13" spans="1:6" x14ac:dyDescent="0.25">
      <c r="A13" s="12" t="s">
        <v>111</v>
      </c>
      <c r="B13" s="14">
        <v>4.9000000000000004</v>
      </c>
      <c r="C13" s="17">
        <v>55794</v>
      </c>
      <c r="E13" s="14">
        <v>4.9000000000000004</v>
      </c>
      <c r="F13" s="17">
        <v>55794</v>
      </c>
    </row>
    <row r="14" spans="1:6" x14ac:dyDescent="0.25">
      <c r="A14" s="12" t="s">
        <v>594</v>
      </c>
      <c r="B14" s="14">
        <v>4.9000000000000004</v>
      </c>
      <c r="C14" s="17">
        <v>65142</v>
      </c>
      <c r="E14" s="14">
        <v>4.9000000000000004</v>
      </c>
      <c r="F14" s="17">
        <v>65142</v>
      </c>
    </row>
    <row r="15" spans="1:6" x14ac:dyDescent="0.25">
      <c r="A15" s="12" t="s">
        <v>495</v>
      </c>
      <c r="B15" s="14">
        <v>4.9000000000000004</v>
      </c>
      <c r="C15" s="17">
        <v>476</v>
      </c>
      <c r="E15" s="14">
        <v>4.9000000000000004</v>
      </c>
      <c r="F15" s="17">
        <v>476</v>
      </c>
    </row>
    <row r="16" spans="1:6" x14ac:dyDescent="0.25">
      <c r="A16" s="12" t="s">
        <v>573</v>
      </c>
      <c r="B16" s="14">
        <v>4.9000000000000004</v>
      </c>
      <c r="C16" s="17">
        <v>3433</v>
      </c>
      <c r="E16" s="14">
        <v>4.9000000000000004</v>
      </c>
      <c r="F16" s="17">
        <v>3433</v>
      </c>
    </row>
    <row r="17" spans="1:6" x14ac:dyDescent="0.25">
      <c r="A17" s="12" t="s">
        <v>393</v>
      </c>
      <c r="B17" s="14">
        <v>4.9000000000000004</v>
      </c>
      <c r="C17" s="17">
        <v>15513</v>
      </c>
      <c r="E17" s="14">
        <v>4.9000000000000004</v>
      </c>
      <c r="F17" s="17">
        <v>15513</v>
      </c>
    </row>
    <row r="18" spans="1:6" x14ac:dyDescent="0.25">
      <c r="A18" s="12" t="s">
        <v>595</v>
      </c>
      <c r="B18" s="14">
        <v>4.9000000000000004</v>
      </c>
      <c r="C18" s="17">
        <v>67104</v>
      </c>
      <c r="E18" s="14">
        <v>4.9000000000000004</v>
      </c>
      <c r="F18" s="17">
        <v>67104</v>
      </c>
    </row>
    <row r="19" spans="1:6" x14ac:dyDescent="0.25">
      <c r="A19" s="12" t="s">
        <v>132</v>
      </c>
      <c r="B19" s="14">
        <v>4.9000000000000004</v>
      </c>
      <c r="C19" s="17">
        <v>53602</v>
      </c>
      <c r="E19" s="14">
        <v>4.9000000000000004</v>
      </c>
      <c r="F19" s="17">
        <v>53602</v>
      </c>
    </row>
    <row r="20" spans="1:6" x14ac:dyDescent="0.25">
      <c r="A20" s="12" t="s">
        <v>455</v>
      </c>
      <c r="B20" s="14">
        <v>4.9000000000000004</v>
      </c>
      <c r="C20" s="17">
        <v>13299</v>
      </c>
      <c r="E20" s="14">
        <v>4.9000000000000004</v>
      </c>
      <c r="F20" s="17">
        <v>13299</v>
      </c>
    </row>
    <row r="21" spans="1:6" x14ac:dyDescent="0.25">
      <c r="A21" s="12" t="s">
        <v>598</v>
      </c>
      <c r="B21" s="14">
        <v>4.9000000000000004</v>
      </c>
      <c r="C21" s="17">
        <v>7914</v>
      </c>
      <c r="E21" s="14">
        <v>4.9000000000000004</v>
      </c>
      <c r="F21" s="17">
        <v>7914</v>
      </c>
    </row>
    <row r="22" spans="1:6" x14ac:dyDescent="0.25">
      <c r="A22" s="12" t="s">
        <v>600</v>
      </c>
      <c r="B22" s="14">
        <v>4.9000000000000004</v>
      </c>
      <c r="C22" s="17">
        <v>27964</v>
      </c>
      <c r="E22" s="14">
        <v>4.9000000000000004</v>
      </c>
      <c r="F22" s="17">
        <v>27964</v>
      </c>
    </row>
    <row r="23" spans="1:6" x14ac:dyDescent="0.25">
      <c r="A23" s="12" t="s">
        <v>256</v>
      </c>
      <c r="B23" s="14">
        <v>4.8</v>
      </c>
      <c r="C23" s="17">
        <v>104512</v>
      </c>
      <c r="E23" s="14">
        <v>4.8</v>
      </c>
      <c r="F23" s="17">
        <v>104512</v>
      </c>
    </row>
    <row r="24" spans="1:6" x14ac:dyDescent="0.25">
      <c r="A24" s="12" t="s">
        <v>172</v>
      </c>
      <c r="B24" s="14">
        <v>4.8</v>
      </c>
      <c r="C24" s="17">
        <v>16518</v>
      </c>
      <c r="E24" s="14">
        <v>4.8</v>
      </c>
      <c r="F24" s="17">
        <v>16518</v>
      </c>
    </row>
    <row r="25" spans="1:6" x14ac:dyDescent="0.25">
      <c r="A25" s="12" t="s">
        <v>205</v>
      </c>
      <c r="B25" s="14">
        <v>4.8</v>
      </c>
      <c r="C25" s="17">
        <v>75734</v>
      </c>
      <c r="E25" s="14">
        <v>4.8</v>
      </c>
      <c r="F25" s="17">
        <v>75734</v>
      </c>
    </row>
    <row r="26" spans="1:6" x14ac:dyDescent="0.25">
      <c r="A26" s="12" t="s">
        <v>200</v>
      </c>
      <c r="B26" s="14">
        <v>4.8</v>
      </c>
      <c r="C26" s="17">
        <v>90394</v>
      </c>
      <c r="E26" s="14">
        <v>4.8</v>
      </c>
      <c r="F26" s="17">
        <v>90394</v>
      </c>
    </row>
    <row r="27" spans="1:6" x14ac:dyDescent="0.25">
      <c r="A27" s="12" t="s">
        <v>320</v>
      </c>
      <c r="B27" s="14">
        <v>4.8</v>
      </c>
      <c r="C27" s="17">
        <v>89173</v>
      </c>
      <c r="E27" s="14">
        <v>4.8</v>
      </c>
      <c r="F27" s="17">
        <v>89173</v>
      </c>
    </row>
    <row r="28" spans="1:6" x14ac:dyDescent="0.25">
      <c r="A28" s="12" t="s">
        <v>588</v>
      </c>
      <c r="B28" s="14">
        <v>4.8</v>
      </c>
      <c r="C28" s="17">
        <v>82564</v>
      </c>
      <c r="E28" s="14">
        <v>4.8</v>
      </c>
      <c r="F28" s="17">
        <v>82564</v>
      </c>
    </row>
    <row r="29" spans="1:6" x14ac:dyDescent="0.25">
      <c r="A29" s="12" t="s">
        <v>226</v>
      </c>
      <c r="B29" s="14">
        <v>4.8</v>
      </c>
      <c r="C29" s="17">
        <v>18227</v>
      </c>
      <c r="E29" s="14">
        <v>4.8</v>
      </c>
      <c r="F29" s="17">
        <v>18227</v>
      </c>
    </row>
    <row r="30" spans="1:6" x14ac:dyDescent="0.25">
      <c r="A30" s="12" t="s">
        <v>370</v>
      </c>
      <c r="B30" s="14">
        <v>4.8</v>
      </c>
      <c r="C30" s="17">
        <v>6058</v>
      </c>
      <c r="E30" s="14">
        <v>4.8</v>
      </c>
      <c r="F30" s="17">
        <v>6058</v>
      </c>
    </row>
    <row r="31" spans="1:6" x14ac:dyDescent="0.25">
      <c r="A31" s="12" t="s">
        <v>561</v>
      </c>
      <c r="B31" s="14">
        <v>4.8</v>
      </c>
      <c r="C31" s="17">
        <v>23786</v>
      </c>
      <c r="E31" s="14">
        <v>4.8</v>
      </c>
      <c r="F31" s="17">
        <v>23786</v>
      </c>
    </row>
    <row r="32" spans="1:6" x14ac:dyDescent="0.25">
      <c r="A32" s="12" t="s">
        <v>267</v>
      </c>
      <c r="B32" s="14">
        <v>4.8</v>
      </c>
      <c r="C32" s="17">
        <v>20638</v>
      </c>
      <c r="E32" s="14">
        <v>4.8</v>
      </c>
      <c r="F32" s="17">
        <v>20638</v>
      </c>
    </row>
    <row r="33" spans="1:6" x14ac:dyDescent="0.25">
      <c r="A33" s="12" t="s">
        <v>187</v>
      </c>
      <c r="B33" s="14">
        <v>4.8</v>
      </c>
      <c r="C33" s="17">
        <v>7876</v>
      </c>
      <c r="E33" s="14">
        <v>4.8</v>
      </c>
      <c r="F33" s="17">
        <v>7876</v>
      </c>
    </row>
    <row r="34" spans="1:6" x14ac:dyDescent="0.25">
      <c r="A34" s="12" t="s">
        <v>522</v>
      </c>
      <c r="B34" s="14">
        <v>4.8</v>
      </c>
      <c r="C34" s="17">
        <v>35944</v>
      </c>
      <c r="E34" s="14">
        <v>4.8</v>
      </c>
      <c r="F34" s="17">
        <v>35944</v>
      </c>
    </row>
    <row r="35" spans="1:6" x14ac:dyDescent="0.25">
      <c r="A35" s="12" t="s">
        <v>527</v>
      </c>
      <c r="B35" s="14">
        <v>4.8</v>
      </c>
      <c r="C35" s="17">
        <v>19562</v>
      </c>
      <c r="E35" s="14">
        <v>4.8</v>
      </c>
      <c r="F35" s="17">
        <v>19562</v>
      </c>
    </row>
    <row r="36" spans="1:6" x14ac:dyDescent="0.25">
      <c r="A36" s="12" t="s">
        <v>315</v>
      </c>
      <c r="B36" s="14">
        <v>4.8</v>
      </c>
      <c r="C36" s="17">
        <v>40073</v>
      </c>
      <c r="E36" s="14">
        <v>4.8</v>
      </c>
      <c r="F36" s="17">
        <v>40073</v>
      </c>
    </row>
    <row r="37" spans="1:6" x14ac:dyDescent="0.25">
      <c r="A37" s="12" t="s">
        <v>169</v>
      </c>
      <c r="B37" s="14">
        <v>4.8</v>
      </c>
      <c r="C37" s="17">
        <v>17084</v>
      </c>
      <c r="E37" s="14">
        <v>4.8</v>
      </c>
      <c r="F37" s="17">
        <v>17084</v>
      </c>
    </row>
    <row r="38" spans="1:6" x14ac:dyDescent="0.25">
      <c r="A38" s="12" t="s">
        <v>409</v>
      </c>
      <c r="B38" s="14">
        <v>4.8</v>
      </c>
      <c r="C38" s="17">
        <v>5807</v>
      </c>
      <c r="E38" s="14">
        <v>4.8</v>
      </c>
      <c r="F38" s="17">
        <v>5807</v>
      </c>
    </row>
    <row r="39" spans="1:6" x14ac:dyDescent="0.25">
      <c r="A39" s="12" t="s">
        <v>432</v>
      </c>
      <c r="B39" s="14">
        <v>4.8</v>
      </c>
      <c r="C39" s="17">
        <v>8150</v>
      </c>
      <c r="E39" s="14">
        <v>4.8</v>
      </c>
      <c r="F39" s="17">
        <v>8150</v>
      </c>
    </row>
    <row r="40" spans="1:6" x14ac:dyDescent="0.25">
      <c r="A40" s="12" t="s">
        <v>567</v>
      </c>
      <c r="B40" s="14">
        <v>4.8</v>
      </c>
      <c r="C40" s="17">
        <v>22304</v>
      </c>
      <c r="E40" s="14">
        <v>4.8</v>
      </c>
      <c r="F40" s="17">
        <v>22304</v>
      </c>
    </row>
    <row r="41" spans="1:6" x14ac:dyDescent="0.25">
      <c r="A41" s="12" t="s">
        <v>220</v>
      </c>
      <c r="B41" s="14">
        <v>4.8</v>
      </c>
      <c r="C41" s="17">
        <v>5751</v>
      </c>
      <c r="E41" s="14">
        <v>4.8</v>
      </c>
      <c r="F41" s="17">
        <v>5751</v>
      </c>
    </row>
    <row r="42" spans="1:6" x14ac:dyDescent="0.25">
      <c r="A42" s="12" t="s">
        <v>309</v>
      </c>
      <c r="B42" s="14">
        <v>4.8</v>
      </c>
      <c r="C42" s="17">
        <v>30260</v>
      </c>
      <c r="E42" s="14">
        <v>4.8</v>
      </c>
      <c r="F42" s="17">
        <v>30260</v>
      </c>
    </row>
    <row r="43" spans="1:6" x14ac:dyDescent="0.25">
      <c r="A43" s="12" t="s">
        <v>241</v>
      </c>
      <c r="B43" s="14">
        <v>4.8</v>
      </c>
      <c r="C43" s="17">
        <v>29360</v>
      </c>
      <c r="E43" s="14">
        <v>4.8</v>
      </c>
      <c r="F43" s="17">
        <v>29360</v>
      </c>
    </row>
    <row r="44" spans="1:6" x14ac:dyDescent="0.25">
      <c r="A44" s="12" t="s">
        <v>593</v>
      </c>
      <c r="B44" s="14">
        <v>4.8</v>
      </c>
      <c r="C44" s="17">
        <v>25279</v>
      </c>
      <c r="E44" s="14">
        <v>4.8</v>
      </c>
      <c r="F44" s="17">
        <v>25279</v>
      </c>
    </row>
    <row r="45" spans="1:6" x14ac:dyDescent="0.25">
      <c r="A45" s="12" t="s">
        <v>591</v>
      </c>
      <c r="B45" s="14">
        <v>4.8</v>
      </c>
      <c r="C45" s="17">
        <v>52915</v>
      </c>
      <c r="E45" s="14">
        <v>4.8</v>
      </c>
      <c r="F45" s="17">
        <v>52915</v>
      </c>
    </row>
    <row r="46" spans="1:6" x14ac:dyDescent="0.25">
      <c r="A46" s="12" t="s">
        <v>253</v>
      </c>
      <c r="B46" s="14">
        <v>4.8</v>
      </c>
      <c r="C46" s="17">
        <v>127734</v>
      </c>
      <c r="E46" s="14">
        <v>4.8</v>
      </c>
      <c r="F46" s="17">
        <v>127734</v>
      </c>
    </row>
    <row r="47" spans="1:6" x14ac:dyDescent="0.25">
      <c r="A47" s="12" t="s">
        <v>361</v>
      </c>
      <c r="B47" s="14">
        <v>4.8</v>
      </c>
      <c r="C47" s="17">
        <v>41554</v>
      </c>
      <c r="E47" s="14">
        <v>4.8</v>
      </c>
      <c r="F47" s="17">
        <v>41554</v>
      </c>
    </row>
    <row r="48" spans="1:6" x14ac:dyDescent="0.25">
      <c r="A48" s="12" t="s">
        <v>423</v>
      </c>
      <c r="B48" s="14">
        <v>4.8</v>
      </c>
      <c r="C48" s="17">
        <v>10381</v>
      </c>
      <c r="E48" s="14">
        <v>4.8</v>
      </c>
      <c r="F48" s="17">
        <v>10381</v>
      </c>
    </row>
    <row r="49" spans="1:6" x14ac:dyDescent="0.25">
      <c r="A49" s="12" t="s">
        <v>559</v>
      </c>
      <c r="B49" s="14">
        <v>4.8</v>
      </c>
      <c r="C49" s="17">
        <v>3576</v>
      </c>
      <c r="E49" s="14">
        <v>4.8</v>
      </c>
      <c r="F49" s="17">
        <v>3576</v>
      </c>
    </row>
    <row r="50" spans="1:6" x14ac:dyDescent="0.25">
      <c r="A50" s="12" t="s">
        <v>259</v>
      </c>
      <c r="B50" s="14">
        <v>4.8</v>
      </c>
      <c r="C50" s="17">
        <v>14746</v>
      </c>
      <c r="E50" s="14">
        <v>4.8</v>
      </c>
      <c r="F50" s="17">
        <v>14746</v>
      </c>
    </row>
    <row r="51" spans="1:6" x14ac:dyDescent="0.25">
      <c r="A51" s="12" t="s">
        <v>235</v>
      </c>
      <c r="B51" s="14">
        <v>4.8</v>
      </c>
      <c r="C51" s="17">
        <v>32845</v>
      </c>
      <c r="E51" s="14">
        <v>4.8</v>
      </c>
      <c r="F51" s="17">
        <v>32845</v>
      </c>
    </row>
    <row r="52" spans="1:6" x14ac:dyDescent="0.25">
      <c r="A52" s="12" t="s">
        <v>486</v>
      </c>
      <c r="B52" s="14">
        <v>4.8</v>
      </c>
      <c r="C52" s="17">
        <v>9378</v>
      </c>
      <c r="E52" s="14">
        <v>4.8</v>
      </c>
      <c r="F52" s="17">
        <v>9378</v>
      </c>
    </row>
    <row r="53" spans="1:6" x14ac:dyDescent="0.25">
      <c r="A53" s="12" t="s">
        <v>429</v>
      </c>
      <c r="B53" s="14">
        <v>4.8</v>
      </c>
      <c r="C53" s="17">
        <v>17396</v>
      </c>
      <c r="E53" s="14">
        <v>4.8</v>
      </c>
      <c r="F53" s="17">
        <v>17396</v>
      </c>
    </row>
    <row r="54" spans="1:6" x14ac:dyDescent="0.25">
      <c r="A54" s="12" t="s">
        <v>277</v>
      </c>
      <c r="B54" s="14">
        <v>4.8</v>
      </c>
      <c r="C54" s="17">
        <v>27090</v>
      </c>
      <c r="E54" s="14">
        <v>4.8</v>
      </c>
      <c r="F54" s="17">
        <v>27090</v>
      </c>
    </row>
    <row r="55" spans="1:6" x14ac:dyDescent="0.25">
      <c r="A55" s="12" t="s">
        <v>417</v>
      </c>
      <c r="B55" s="14">
        <v>4.8</v>
      </c>
      <c r="C55" s="17">
        <v>5959</v>
      </c>
      <c r="E55" s="14">
        <v>4.8</v>
      </c>
      <c r="F55" s="17">
        <v>5959</v>
      </c>
    </row>
    <row r="56" spans="1:6" x14ac:dyDescent="0.25">
      <c r="A56" s="12" t="s">
        <v>318</v>
      </c>
      <c r="B56" s="14">
        <v>4.8</v>
      </c>
      <c r="C56" s="17">
        <v>91554</v>
      </c>
      <c r="E56" s="14">
        <v>4.8</v>
      </c>
      <c r="F56" s="17">
        <v>91554</v>
      </c>
    </row>
    <row r="57" spans="1:6" x14ac:dyDescent="0.25">
      <c r="A57" s="12" t="s">
        <v>8</v>
      </c>
      <c r="B57" s="14">
        <v>4.8</v>
      </c>
      <c r="C57" s="17">
        <v>145747</v>
      </c>
      <c r="E57" s="14">
        <v>4.8</v>
      </c>
      <c r="F57" s="17">
        <v>145747</v>
      </c>
    </row>
    <row r="58" spans="1:6" x14ac:dyDescent="0.25">
      <c r="A58" s="12" t="s">
        <v>100</v>
      </c>
      <c r="B58" s="14">
        <v>4.7750000000000004</v>
      </c>
      <c r="C58" s="17">
        <v>31474</v>
      </c>
      <c r="E58" s="14">
        <v>4.7750000000000004</v>
      </c>
      <c r="F58" s="17">
        <v>31474</v>
      </c>
    </row>
    <row r="59" spans="1:6" x14ac:dyDescent="0.25">
      <c r="A59" s="12" t="s">
        <v>576</v>
      </c>
      <c r="B59" s="14">
        <v>4.7</v>
      </c>
      <c r="C59" s="17">
        <v>3098</v>
      </c>
      <c r="E59" s="14">
        <v>4.7</v>
      </c>
      <c r="F59" s="17">
        <v>3098</v>
      </c>
    </row>
    <row r="60" spans="1:6" x14ac:dyDescent="0.25">
      <c r="A60" s="12" t="s">
        <v>548</v>
      </c>
      <c r="B60" s="14">
        <v>4.7</v>
      </c>
      <c r="C60" s="17">
        <v>3577</v>
      </c>
      <c r="E60" s="14">
        <v>4.7</v>
      </c>
      <c r="F60" s="17">
        <v>3577</v>
      </c>
    </row>
    <row r="61" spans="1:6" x14ac:dyDescent="0.25">
      <c r="A61" s="12" t="s">
        <v>339</v>
      </c>
      <c r="B61" s="14">
        <v>4.7</v>
      </c>
      <c r="C61" s="17">
        <v>13431</v>
      </c>
      <c r="E61" s="14">
        <v>4.7</v>
      </c>
      <c r="F61" s="17">
        <v>13431</v>
      </c>
    </row>
    <row r="62" spans="1:6" x14ac:dyDescent="0.25">
      <c r="A62" s="12" t="s">
        <v>373</v>
      </c>
      <c r="B62" s="14">
        <v>4.7</v>
      </c>
      <c r="C62" s="17">
        <v>30755</v>
      </c>
      <c r="E62" s="14">
        <v>4.7</v>
      </c>
      <c r="F62" s="17">
        <v>30755</v>
      </c>
    </row>
    <row r="63" spans="1:6" x14ac:dyDescent="0.25">
      <c r="A63" s="12" t="s">
        <v>539</v>
      </c>
      <c r="B63" s="14">
        <v>4.7</v>
      </c>
      <c r="C63" s="17">
        <v>96578</v>
      </c>
      <c r="E63" s="14">
        <v>4.7</v>
      </c>
      <c r="F63" s="17">
        <v>96578</v>
      </c>
    </row>
    <row r="64" spans="1:6" x14ac:dyDescent="0.25">
      <c r="A64" s="12" t="s">
        <v>291</v>
      </c>
      <c r="B64" s="14">
        <v>4.7</v>
      </c>
      <c r="C64" s="17">
        <v>7992</v>
      </c>
      <c r="E64" s="14">
        <v>4.7</v>
      </c>
      <c r="F64" s="17">
        <v>7992</v>
      </c>
    </row>
    <row r="65" spans="1:6" x14ac:dyDescent="0.25">
      <c r="A65" s="12" t="s">
        <v>335</v>
      </c>
      <c r="B65" s="14">
        <v>4.7</v>
      </c>
      <c r="C65" s="17">
        <v>20096</v>
      </c>
      <c r="E65" s="14">
        <v>4.7</v>
      </c>
      <c r="F65" s="17">
        <v>20096</v>
      </c>
    </row>
    <row r="66" spans="1:6" x14ac:dyDescent="0.25">
      <c r="A66" s="12" t="s">
        <v>470</v>
      </c>
      <c r="B66" s="14">
        <v>4.7</v>
      </c>
      <c r="C66" s="17">
        <v>14335</v>
      </c>
      <c r="E66" s="14">
        <v>4.7</v>
      </c>
      <c r="F66" s="17">
        <v>14335</v>
      </c>
    </row>
    <row r="67" spans="1:6" x14ac:dyDescent="0.25">
      <c r="A67" s="12" t="s">
        <v>599</v>
      </c>
      <c r="B67" s="14">
        <v>4.7</v>
      </c>
      <c r="C67" s="17">
        <v>3765</v>
      </c>
      <c r="E67" s="14">
        <v>4.7</v>
      </c>
      <c r="F67" s="17">
        <v>3765</v>
      </c>
    </row>
    <row r="68" spans="1:6" x14ac:dyDescent="0.25">
      <c r="A68" s="12" t="s">
        <v>597</v>
      </c>
      <c r="B68" s="14">
        <v>4.7</v>
      </c>
      <c r="C68" s="17">
        <v>4255</v>
      </c>
      <c r="E68" s="14">
        <v>4.7</v>
      </c>
      <c r="F68" s="17">
        <v>4255</v>
      </c>
    </row>
    <row r="69" spans="1:6" x14ac:dyDescent="0.25">
      <c r="A69" s="12" t="s">
        <v>491</v>
      </c>
      <c r="B69" s="14">
        <v>4.7</v>
      </c>
      <c r="C69" s="17">
        <v>3004</v>
      </c>
      <c r="E69" s="14">
        <v>4.7</v>
      </c>
      <c r="F69" s="17">
        <v>3004</v>
      </c>
    </row>
    <row r="70" spans="1:6" x14ac:dyDescent="0.25">
      <c r="A70" s="12" t="s">
        <v>450</v>
      </c>
      <c r="B70" s="14">
        <v>4.7</v>
      </c>
      <c r="C70" s="17">
        <v>17803</v>
      </c>
      <c r="E70" s="14">
        <v>4.7</v>
      </c>
      <c r="F70" s="17">
        <v>17803</v>
      </c>
    </row>
    <row r="71" spans="1:6" x14ac:dyDescent="0.25">
      <c r="A71" s="12" t="s">
        <v>435</v>
      </c>
      <c r="B71" s="14">
        <v>4.7</v>
      </c>
      <c r="C71" s="17">
        <v>31249</v>
      </c>
      <c r="E71" s="14">
        <v>4.7</v>
      </c>
      <c r="F71" s="17">
        <v>31249</v>
      </c>
    </row>
    <row r="72" spans="1:6" x14ac:dyDescent="0.25">
      <c r="A72" s="12" t="s">
        <v>248</v>
      </c>
      <c r="B72" s="14">
        <v>4.7</v>
      </c>
      <c r="C72" s="17">
        <v>109703</v>
      </c>
      <c r="E72" s="14">
        <v>4.7</v>
      </c>
      <c r="F72" s="17">
        <v>109703</v>
      </c>
    </row>
    <row r="73" spans="1:6" x14ac:dyDescent="0.25">
      <c r="A73" s="12" t="s">
        <v>163</v>
      </c>
      <c r="B73" s="14">
        <v>4.7</v>
      </c>
      <c r="C73" s="17">
        <v>68563</v>
      </c>
      <c r="E73" s="14">
        <v>4.7</v>
      </c>
      <c r="F73" s="17">
        <v>68563</v>
      </c>
    </row>
    <row r="74" spans="1:6" x14ac:dyDescent="0.25">
      <c r="A74" s="12" t="s">
        <v>125</v>
      </c>
      <c r="B74" s="14">
        <v>4.7</v>
      </c>
      <c r="C74" s="17">
        <v>106198</v>
      </c>
      <c r="E74" s="14">
        <v>4.7</v>
      </c>
      <c r="F74" s="17">
        <v>106198</v>
      </c>
    </row>
    <row r="75" spans="1:6" x14ac:dyDescent="0.25">
      <c r="A75" s="12" t="s">
        <v>517</v>
      </c>
      <c r="B75" s="14">
        <v>4.7</v>
      </c>
      <c r="C75" s="17">
        <v>2668</v>
      </c>
      <c r="E75" s="14">
        <v>4.7</v>
      </c>
      <c r="F75" s="17">
        <v>2668</v>
      </c>
    </row>
    <row r="76" spans="1:6" x14ac:dyDescent="0.25">
      <c r="A76" s="12" t="s">
        <v>507</v>
      </c>
      <c r="B76" s="14">
        <v>4.7</v>
      </c>
      <c r="C76" s="17">
        <v>41584</v>
      </c>
      <c r="E76" s="14">
        <v>4.7</v>
      </c>
      <c r="F76" s="17">
        <v>41584</v>
      </c>
    </row>
    <row r="77" spans="1:6" x14ac:dyDescent="0.25">
      <c r="A77" s="12" t="s">
        <v>564</v>
      </c>
      <c r="B77" s="14">
        <v>4.7</v>
      </c>
      <c r="C77" s="17">
        <v>16848</v>
      </c>
      <c r="E77" s="14">
        <v>4.7</v>
      </c>
      <c r="F77" s="17">
        <v>16848</v>
      </c>
    </row>
    <row r="78" spans="1:6" x14ac:dyDescent="0.25">
      <c r="A78" s="12" t="s">
        <v>493</v>
      </c>
      <c r="B78" s="14">
        <v>4.7</v>
      </c>
      <c r="C78" s="17">
        <v>186767</v>
      </c>
      <c r="E78" s="14">
        <v>4.7</v>
      </c>
      <c r="F78" s="17">
        <v>186767</v>
      </c>
    </row>
    <row r="79" spans="1:6" x14ac:dyDescent="0.25">
      <c r="A79" s="12" t="s">
        <v>503</v>
      </c>
      <c r="B79" s="14">
        <v>4.7</v>
      </c>
      <c r="C79" s="17">
        <v>6749</v>
      </c>
      <c r="E79" s="14">
        <v>4.7</v>
      </c>
      <c r="F79" s="17">
        <v>6749</v>
      </c>
    </row>
    <row r="80" spans="1:6" x14ac:dyDescent="0.25">
      <c r="A80" s="12" t="s">
        <v>601</v>
      </c>
      <c r="B80" s="14">
        <v>4.7</v>
      </c>
      <c r="C80" s="17">
        <v>22093</v>
      </c>
      <c r="E80" s="14">
        <v>4.7</v>
      </c>
      <c r="F80" s="17">
        <v>22093</v>
      </c>
    </row>
    <row r="81" spans="1:6" x14ac:dyDescent="0.25">
      <c r="A81" s="12" t="s">
        <v>280</v>
      </c>
      <c r="B81" s="14">
        <v>4.7</v>
      </c>
      <c r="C81" s="17">
        <v>14647</v>
      </c>
      <c r="E81" s="14">
        <v>4.7</v>
      </c>
      <c r="F81" s="17">
        <v>14647</v>
      </c>
    </row>
    <row r="82" spans="1:6" x14ac:dyDescent="0.25">
      <c r="A82" s="12" t="s">
        <v>353</v>
      </c>
      <c r="B82" s="14">
        <v>4.7</v>
      </c>
      <c r="C82" s="17">
        <v>6506</v>
      </c>
      <c r="E82" s="14">
        <v>4.7</v>
      </c>
      <c r="F82" s="17">
        <v>6506</v>
      </c>
    </row>
    <row r="83" spans="1:6" x14ac:dyDescent="0.25">
      <c r="A83" s="12" t="s">
        <v>385</v>
      </c>
      <c r="B83" s="14">
        <v>4.7</v>
      </c>
      <c r="C83" s="17">
        <v>25729</v>
      </c>
      <c r="E83" s="14">
        <v>4.7</v>
      </c>
      <c r="F83" s="17">
        <v>25729</v>
      </c>
    </row>
    <row r="84" spans="1:6" x14ac:dyDescent="0.25">
      <c r="A84" s="12" t="s">
        <v>288</v>
      </c>
      <c r="B84" s="14">
        <v>4.7</v>
      </c>
      <c r="C84" s="17">
        <v>13739</v>
      </c>
      <c r="E84" s="14">
        <v>4.7</v>
      </c>
      <c r="F84" s="17">
        <v>13739</v>
      </c>
    </row>
    <row r="85" spans="1:6" x14ac:dyDescent="0.25">
      <c r="A85" s="12" t="s">
        <v>397</v>
      </c>
      <c r="B85" s="14">
        <v>4.7</v>
      </c>
      <c r="C85" s="17">
        <v>23656</v>
      </c>
      <c r="E85" s="14">
        <v>4.7</v>
      </c>
      <c r="F85" s="17">
        <v>23656</v>
      </c>
    </row>
    <row r="86" spans="1:6" x14ac:dyDescent="0.25">
      <c r="A86" s="12" t="s">
        <v>533</v>
      </c>
      <c r="B86" s="14">
        <v>4.7</v>
      </c>
      <c r="C86" s="17">
        <v>17892</v>
      </c>
      <c r="E86" s="14">
        <v>4.7</v>
      </c>
      <c r="F86" s="17">
        <v>17892</v>
      </c>
    </row>
    <row r="87" spans="1:6" x14ac:dyDescent="0.25">
      <c r="A87" s="12" t="s">
        <v>92</v>
      </c>
      <c r="B87" s="14">
        <v>4.7</v>
      </c>
      <c r="C87" s="17">
        <v>24468</v>
      </c>
      <c r="E87" s="14">
        <v>4.7</v>
      </c>
      <c r="F87" s="17">
        <v>24468</v>
      </c>
    </row>
    <row r="88" spans="1:6" x14ac:dyDescent="0.25">
      <c r="A88" s="12" t="s">
        <v>191</v>
      </c>
      <c r="B88" s="14">
        <v>4.7</v>
      </c>
      <c r="C88" s="17">
        <v>22689</v>
      </c>
      <c r="E88" s="14">
        <v>4.7</v>
      </c>
      <c r="F88" s="17">
        <v>22689</v>
      </c>
    </row>
    <row r="89" spans="1:6" x14ac:dyDescent="0.25">
      <c r="A89" s="12" t="s">
        <v>71</v>
      </c>
      <c r="B89" s="14">
        <v>4.7</v>
      </c>
      <c r="C89" s="17">
        <v>10805</v>
      </c>
      <c r="E89" s="14">
        <v>4.7</v>
      </c>
      <c r="F89" s="17">
        <v>10805</v>
      </c>
    </row>
    <row r="90" spans="1:6" x14ac:dyDescent="0.25">
      <c r="A90" s="12" t="s">
        <v>35</v>
      </c>
      <c r="B90" s="14">
        <v>4.7</v>
      </c>
      <c r="C90" s="17">
        <v>87375</v>
      </c>
      <c r="E90" s="14">
        <v>4.7</v>
      </c>
      <c r="F90" s="17">
        <v>87375</v>
      </c>
    </row>
    <row r="91" spans="1:6" x14ac:dyDescent="0.25">
      <c r="A91" s="12" t="s">
        <v>79</v>
      </c>
      <c r="B91" s="14">
        <v>4.7</v>
      </c>
      <c r="C91" s="17">
        <v>119661</v>
      </c>
      <c r="E91" s="14">
        <v>4.7</v>
      </c>
      <c r="F91" s="17">
        <v>119661</v>
      </c>
    </row>
    <row r="92" spans="1:6" x14ac:dyDescent="0.25">
      <c r="A92" s="12" t="s">
        <v>14</v>
      </c>
      <c r="B92" s="14">
        <v>4.6749999999999989</v>
      </c>
      <c r="C92" s="17">
        <v>1156263</v>
      </c>
      <c r="E92" s="14">
        <v>4.6749999999999989</v>
      </c>
      <c r="F92" s="17">
        <v>1156263</v>
      </c>
    </row>
    <row r="93" spans="1:6" x14ac:dyDescent="0.25">
      <c r="A93" s="12" t="s">
        <v>270</v>
      </c>
      <c r="B93" s="14">
        <v>4.666666666666667</v>
      </c>
      <c r="C93" s="17">
        <v>909363</v>
      </c>
      <c r="E93" s="14">
        <v>4.666666666666667</v>
      </c>
      <c r="F93" s="17">
        <v>909363</v>
      </c>
    </row>
    <row r="94" spans="1:6" x14ac:dyDescent="0.25">
      <c r="A94" s="12" t="s">
        <v>166</v>
      </c>
      <c r="B94" s="14">
        <v>4.6500000000000004</v>
      </c>
      <c r="C94" s="17">
        <v>9627</v>
      </c>
      <c r="E94" s="14">
        <v>4.6500000000000004</v>
      </c>
      <c r="F94" s="17">
        <v>9627</v>
      </c>
    </row>
    <row r="95" spans="1:6" x14ac:dyDescent="0.25">
      <c r="A95" s="12" t="s">
        <v>85</v>
      </c>
      <c r="B95" s="14">
        <v>4.6428571428571432</v>
      </c>
      <c r="C95" s="17">
        <v>1522334</v>
      </c>
      <c r="E95" s="14">
        <v>4.6428571428571432</v>
      </c>
      <c r="F95" s="17">
        <v>1522334</v>
      </c>
    </row>
    <row r="96" spans="1:6" x14ac:dyDescent="0.25">
      <c r="A96" s="12" t="s">
        <v>44</v>
      </c>
      <c r="B96" s="14">
        <v>4.62</v>
      </c>
      <c r="C96" s="17">
        <v>1590316</v>
      </c>
      <c r="E96" s="14">
        <v>4.62</v>
      </c>
      <c r="F96" s="17">
        <v>1590316</v>
      </c>
    </row>
    <row r="97" spans="1:6" x14ac:dyDescent="0.25">
      <c r="A97" s="12" t="s">
        <v>350</v>
      </c>
      <c r="B97" s="14">
        <v>4.5999999999999996</v>
      </c>
      <c r="C97" s="17">
        <v>12421</v>
      </c>
      <c r="E97" s="14">
        <v>4.5999999999999996</v>
      </c>
      <c r="F97" s="17">
        <v>12421</v>
      </c>
    </row>
    <row r="98" spans="1:6" x14ac:dyDescent="0.25">
      <c r="A98" s="12" t="s">
        <v>407</v>
      </c>
      <c r="B98" s="14">
        <v>4.5999999999999996</v>
      </c>
      <c r="C98" s="17">
        <v>145297</v>
      </c>
      <c r="E98" s="14">
        <v>4.5999999999999996</v>
      </c>
      <c r="F98" s="17">
        <v>145297</v>
      </c>
    </row>
    <row r="99" spans="1:6" x14ac:dyDescent="0.25">
      <c r="A99" s="12" t="s">
        <v>307</v>
      </c>
      <c r="B99" s="14">
        <v>4.5999999999999996</v>
      </c>
      <c r="C99" s="17">
        <v>190451</v>
      </c>
      <c r="E99" s="14">
        <v>4.5999999999999996</v>
      </c>
      <c r="F99" s="17">
        <v>190451</v>
      </c>
    </row>
    <row r="100" spans="1:6" x14ac:dyDescent="0.25">
      <c r="A100" s="12" t="s">
        <v>542</v>
      </c>
      <c r="B100" s="14">
        <v>4.5999999999999996</v>
      </c>
      <c r="C100" s="17">
        <v>6031</v>
      </c>
      <c r="E100" s="14">
        <v>4.5999999999999996</v>
      </c>
      <c r="F100" s="17">
        <v>6031</v>
      </c>
    </row>
    <row r="101" spans="1:6" x14ac:dyDescent="0.25">
      <c r="A101" s="12" t="s">
        <v>108</v>
      </c>
      <c r="B101" s="14">
        <v>4.5999999999999996</v>
      </c>
      <c r="C101" s="17">
        <v>94536</v>
      </c>
      <c r="E101" s="14">
        <v>4.5999999999999996</v>
      </c>
      <c r="F101" s="17">
        <v>94536</v>
      </c>
    </row>
    <row r="102" spans="1:6" x14ac:dyDescent="0.25">
      <c r="A102" s="12" t="s">
        <v>426</v>
      </c>
      <c r="B102" s="14">
        <v>4.5999999999999996</v>
      </c>
      <c r="C102" s="17">
        <v>13716</v>
      </c>
      <c r="E102" s="14">
        <v>4.5999999999999996</v>
      </c>
      <c r="F102" s="17">
        <v>13716</v>
      </c>
    </row>
    <row r="103" spans="1:6" x14ac:dyDescent="0.25">
      <c r="A103" s="12" t="s">
        <v>88</v>
      </c>
      <c r="B103" s="14">
        <v>4.5999999999999996</v>
      </c>
      <c r="C103" s="17">
        <v>15400</v>
      </c>
      <c r="E103" s="14">
        <v>4.5999999999999996</v>
      </c>
      <c r="F103" s="17">
        <v>15400</v>
      </c>
    </row>
    <row r="104" spans="1:6" x14ac:dyDescent="0.25">
      <c r="A104" s="12" t="s">
        <v>295</v>
      </c>
      <c r="B104" s="14">
        <v>4.5999999999999996</v>
      </c>
      <c r="C104" s="17">
        <v>123058</v>
      </c>
      <c r="E104" s="14">
        <v>4.5999999999999996</v>
      </c>
      <c r="F104" s="17">
        <v>123058</v>
      </c>
    </row>
    <row r="105" spans="1:6" x14ac:dyDescent="0.25">
      <c r="A105" s="12" t="s">
        <v>444</v>
      </c>
      <c r="B105" s="14">
        <v>4.5999999999999996</v>
      </c>
      <c r="C105" s="17">
        <v>214782</v>
      </c>
      <c r="E105" s="14">
        <v>4.5999999999999996</v>
      </c>
      <c r="F105" s="17">
        <v>214782</v>
      </c>
    </row>
    <row r="106" spans="1:6" x14ac:dyDescent="0.25">
      <c r="A106" s="12" t="s">
        <v>376</v>
      </c>
      <c r="B106" s="14">
        <v>4.5999999999999996</v>
      </c>
      <c r="C106" s="17">
        <v>95147</v>
      </c>
      <c r="E106" s="14">
        <v>4.5999999999999996</v>
      </c>
      <c r="F106" s="17">
        <v>95147</v>
      </c>
    </row>
    <row r="107" spans="1:6" x14ac:dyDescent="0.25">
      <c r="A107" s="12" t="s">
        <v>136</v>
      </c>
      <c r="B107" s="14">
        <v>4.5999999999999996</v>
      </c>
      <c r="C107" s="17">
        <v>88321</v>
      </c>
      <c r="E107" s="14">
        <v>4.5999999999999996</v>
      </c>
      <c r="F107" s="17">
        <v>88321</v>
      </c>
    </row>
    <row r="108" spans="1:6" x14ac:dyDescent="0.25">
      <c r="A108" s="12" t="s">
        <v>589</v>
      </c>
      <c r="B108" s="14">
        <v>4.5999999999999996</v>
      </c>
      <c r="C108" s="17">
        <v>19946</v>
      </c>
      <c r="E108" s="14">
        <v>4.5999999999999996</v>
      </c>
      <c r="F108" s="17">
        <v>19946</v>
      </c>
    </row>
    <row r="109" spans="1:6" x14ac:dyDescent="0.25">
      <c r="A109" s="12" t="s">
        <v>415</v>
      </c>
      <c r="B109" s="14">
        <v>4.5999999999999996</v>
      </c>
      <c r="C109" s="17">
        <v>36122</v>
      </c>
      <c r="E109" s="14">
        <v>4.5999999999999996</v>
      </c>
      <c r="F109" s="17">
        <v>36122</v>
      </c>
    </row>
    <row r="110" spans="1:6" x14ac:dyDescent="0.25">
      <c r="A110" s="12" t="s">
        <v>31</v>
      </c>
      <c r="B110" s="14">
        <v>4.5999999999999996</v>
      </c>
      <c r="C110" s="17">
        <v>322650</v>
      </c>
      <c r="E110" s="14">
        <v>4.5999999999999996</v>
      </c>
      <c r="F110" s="17">
        <v>322650</v>
      </c>
    </row>
    <row r="111" spans="1:6" x14ac:dyDescent="0.25">
      <c r="A111" s="12" t="s">
        <v>342</v>
      </c>
      <c r="B111" s="14">
        <v>4.5999999999999996</v>
      </c>
      <c r="C111" s="17">
        <v>11570</v>
      </c>
      <c r="E111" s="14">
        <v>4.5999999999999996</v>
      </c>
      <c r="F111" s="17">
        <v>11570</v>
      </c>
    </row>
    <row r="112" spans="1:6" x14ac:dyDescent="0.25">
      <c r="A112" s="12" t="s">
        <v>596</v>
      </c>
      <c r="B112" s="14">
        <v>4.5999999999999996</v>
      </c>
      <c r="C112" s="17">
        <v>5091</v>
      </c>
      <c r="E112" s="14">
        <v>4.5999999999999996</v>
      </c>
      <c r="F112" s="17">
        <v>5091</v>
      </c>
    </row>
    <row r="113" spans="1:6" x14ac:dyDescent="0.25">
      <c r="A113" s="12" t="s">
        <v>160</v>
      </c>
      <c r="B113" s="14">
        <v>4.5999999999999996</v>
      </c>
      <c r="C113" s="17">
        <v>129211</v>
      </c>
      <c r="E113" s="14">
        <v>4.5999999999999996</v>
      </c>
      <c r="F113" s="17">
        <v>129211</v>
      </c>
    </row>
    <row r="114" spans="1:6" x14ac:dyDescent="0.25">
      <c r="A114" s="12" t="s">
        <v>82</v>
      </c>
      <c r="B114" s="14">
        <v>4.5999999999999996</v>
      </c>
      <c r="C114" s="17">
        <v>146667</v>
      </c>
      <c r="E114" s="14">
        <v>4.5999999999999996</v>
      </c>
      <c r="F114" s="17">
        <v>146667</v>
      </c>
    </row>
    <row r="115" spans="1:6" x14ac:dyDescent="0.25">
      <c r="A115" s="12" t="s">
        <v>367</v>
      </c>
      <c r="B115" s="14">
        <v>4.5999999999999996</v>
      </c>
      <c r="C115" s="17">
        <v>22994</v>
      </c>
      <c r="E115" s="14">
        <v>4.5999999999999996</v>
      </c>
      <c r="F115" s="17">
        <v>22994</v>
      </c>
    </row>
    <row r="116" spans="1:6" x14ac:dyDescent="0.25">
      <c r="A116" s="12" t="s">
        <v>458</v>
      </c>
      <c r="B116" s="14">
        <v>4.5999999999999996</v>
      </c>
      <c r="C116" s="17">
        <v>22419</v>
      </c>
      <c r="E116" s="14">
        <v>4.5999999999999996</v>
      </c>
      <c r="F116" s="17">
        <v>22419</v>
      </c>
    </row>
    <row r="117" spans="1:6" x14ac:dyDescent="0.25">
      <c r="A117" s="12" t="s">
        <v>513</v>
      </c>
      <c r="B117" s="14">
        <v>4.5999999999999996</v>
      </c>
      <c r="C117" s="17">
        <v>7711</v>
      </c>
      <c r="E117" s="14">
        <v>4.5999999999999996</v>
      </c>
      <c r="F117" s="17">
        <v>7711</v>
      </c>
    </row>
    <row r="118" spans="1:6" x14ac:dyDescent="0.25">
      <c r="A118" s="12" t="s">
        <v>477</v>
      </c>
      <c r="B118" s="14">
        <v>4.5999999999999996</v>
      </c>
      <c r="C118" s="17">
        <v>101295</v>
      </c>
      <c r="E118" s="14">
        <v>4.5999999999999996</v>
      </c>
      <c r="F118" s="17">
        <v>101295</v>
      </c>
    </row>
    <row r="119" spans="1:6" x14ac:dyDescent="0.25">
      <c r="A119" s="12" t="s">
        <v>554</v>
      </c>
      <c r="B119" s="14">
        <v>4.5999999999999996</v>
      </c>
      <c r="C119" s="17">
        <v>50581</v>
      </c>
      <c r="E119" s="14">
        <v>4.5999999999999996</v>
      </c>
      <c r="F119" s="17">
        <v>50581</v>
      </c>
    </row>
    <row r="120" spans="1:6" x14ac:dyDescent="0.25">
      <c r="A120" s="12" t="s">
        <v>441</v>
      </c>
      <c r="B120" s="14">
        <v>4.5999999999999996</v>
      </c>
      <c r="C120" s="17">
        <v>58611</v>
      </c>
      <c r="E120" s="14">
        <v>4.5999999999999996</v>
      </c>
      <c r="F120" s="17">
        <v>58611</v>
      </c>
    </row>
    <row r="121" spans="1:6" x14ac:dyDescent="0.25">
      <c r="A121" s="12" t="s">
        <v>391</v>
      </c>
      <c r="B121" s="14">
        <v>4.5999999999999996</v>
      </c>
      <c r="C121" s="17">
        <v>34573</v>
      </c>
      <c r="E121" s="14">
        <v>4.5999999999999996</v>
      </c>
      <c r="F121" s="17">
        <v>34573</v>
      </c>
    </row>
    <row r="122" spans="1:6" x14ac:dyDescent="0.25">
      <c r="A122" s="12" t="s">
        <v>556</v>
      </c>
      <c r="B122" s="14">
        <v>4.5999999999999996</v>
      </c>
      <c r="C122" s="17">
        <v>12949</v>
      </c>
      <c r="E122" s="14">
        <v>4.5999999999999996</v>
      </c>
      <c r="F122" s="17">
        <v>12949</v>
      </c>
    </row>
    <row r="123" spans="1:6" x14ac:dyDescent="0.25">
      <c r="A123" s="12" t="s">
        <v>194</v>
      </c>
      <c r="B123" s="14">
        <v>4.5999999999999996</v>
      </c>
      <c r="C123" s="17">
        <v>23034</v>
      </c>
      <c r="E123" s="14">
        <v>4.5999999999999996</v>
      </c>
      <c r="F123" s="17">
        <v>23034</v>
      </c>
    </row>
    <row r="124" spans="1:6" x14ac:dyDescent="0.25">
      <c r="A124" s="12" t="s">
        <v>68</v>
      </c>
      <c r="B124" s="14">
        <v>4.5</v>
      </c>
      <c r="C124" s="17">
        <v>366222</v>
      </c>
      <c r="E124" s="14">
        <v>4.5</v>
      </c>
      <c r="F124" s="17">
        <v>366222</v>
      </c>
    </row>
    <row r="125" spans="1:6" x14ac:dyDescent="0.25">
      <c r="A125" s="12" t="s">
        <v>223</v>
      </c>
      <c r="B125" s="14">
        <v>4.5</v>
      </c>
      <c r="C125" s="17">
        <v>86622</v>
      </c>
      <c r="E125" s="14">
        <v>4.5</v>
      </c>
      <c r="F125" s="17">
        <v>86622</v>
      </c>
    </row>
    <row r="126" spans="1:6" x14ac:dyDescent="0.25">
      <c r="A126" s="12" t="s">
        <v>285</v>
      </c>
      <c r="B126" s="14">
        <v>4.5</v>
      </c>
      <c r="C126" s="17">
        <v>158416</v>
      </c>
      <c r="E126" s="14">
        <v>4.5</v>
      </c>
      <c r="F126" s="17">
        <v>158416</v>
      </c>
    </row>
    <row r="127" spans="1:6" x14ac:dyDescent="0.25">
      <c r="A127" s="12" t="s">
        <v>412</v>
      </c>
      <c r="B127" s="14">
        <v>4.5</v>
      </c>
      <c r="C127" s="17">
        <v>97696</v>
      </c>
      <c r="E127" s="14">
        <v>4.5</v>
      </c>
      <c r="F127" s="17">
        <v>97696</v>
      </c>
    </row>
    <row r="128" spans="1:6" x14ac:dyDescent="0.25">
      <c r="A128" s="12" t="s">
        <v>229</v>
      </c>
      <c r="B128" s="14">
        <v>4.5</v>
      </c>
      <c r="C128" s="17">
        <v>43046</v>
      </c>
      <c r="E128" s="14">
        <v>4.5</v>
      </c>
      <c r="F128" s="17">
        <v>43046</v>
      </c>
    </row>
    <row r="129" spans="1:6" x14ac:dyDescent="0.25">
      <c r="A129" s="12" t="s">
        <v>498</v>
      </c>
      <c r="B129" s="14">
        <v>4.5</v>
      </c>
      <c r="C129" s="17">
        <v>71453</v>
      </c>
      <c r="E129" s="14">
        <v>4.5</v>
      </c>
      <c r="F129" s="17">
        <v>71453</v>
      </c>
    </row>
    <row r="130" spans="1:6" x14ac:dyDescent="0.25">
      <c r="A130" s="12" t="s">
        <v>388</v>
      </c>
      <c r="B130" s="14">
        <v>4.5</v>
      </c>
      <c r="C130" s="17">
        <v>15013</v>
      </c>
      <c r="E130" s="14">
        <v>4.5</v>
      </c>
      <c r="F130" s="17">
        <v>15013</v>
      </c>
    </row>
    <row r="131" spans="1:6" x14ac:dyDescent="0.25">
      <c r="A131" s="12" t="s">
        <v>304</v>
      </c>
      <c r="B131" s="14">
        <v>4.5</v>
      </c>
      <c r="C131" s="17">
        <v>235857</v>
      </c>
      <c r="E131" s="14">
        <v>4.5</v>
      </c>
      <c r="F131" s="17">
        <v>235857</v>
      </c>
    </row>
    <row r="132" spans="1:6" x14ac:dyDescent="0.25">
      <c r="A132" s="12" t="s">
        <v>121</v>
      </c>
      <c r="B132" s="14">
        <v>4.5</v>
      </c>
      <c r="C132" s="17">
        <v>60311</v>
      </c>
      <c r="E132" s="14">
        <v>4.5</v>
      </c>
      <c r="F132" s="17">
        <v>60311</v>
      </c>
    </row>
    <row r="133" spans="1:6" x14ac:dyDescent="0.25">
      <c r="A133" s="12" t="s">
        <v>587</v>
      </c>
      <c r="B133" s="14">
        <v>4.5</v>
      </c>
      <c r="C133" s="17">
        <v>116101</v>
      </c>
      <c r="E133" s="14">
        <v>4.5</v>
      </c>
      <c r="F133" s="17">
        <v>116101</v>
      </c>
    </row>
    <row r="134" spans="1:6" x14ac:dyDescent="0.25">
      <c r="A134" s="12" t="s">
        <v>105</v>
      </c>
      <c r="B134" s="14">
        <v>4.45</v>
      </c>
      <c r="C134" s="17">
        <v>351306</v>
      </c>
      <c r="E134" s="14">
        <v>4.45</v>
      </c>
      <c r="F134" s="17">
        <v>351306</v>
      </c>
    </row>
    <row r="135" spans="1:6" x14ac:dyDescent="0.25">
      <c r="A135" s="12" t="s">
        <v>63</v>
      </c>
      <c r="B135" s="14">
        <v>4.4000000000000004</v>
      </c>
      <c r="C135" s="17">
        <v>120570</v>
      </c>
      <c r="E135" s="14">
        <v>4.4000000000000004</v>
      </c>
      <c r="F135" s="17">
        <v>120570</v>
      </c>
    </row>
    <row r="136" spans="1:6" x14ac:dyDescent="0.25">
      <c r="A136" s="12" t="s">
        <v>545</v>
      </c>
      <c r="B136" s="14">
        <v>4.4000000000000004</v>
      </c>
      <c r="C136" s="17">
        <v>46437</v>
      </c>
      <c r="E136" s="14">
        <v>4.4000000000000004</v>
      </c>
      <c r="F136" s="17">
        <v>46437</v>
      </c>
    </row>
    <row r="137" spans="1:6" x14ac:dyDescent="0.25">
      <c r="A137" s="12" t="s">
        <v>481</v>
      </c>
      <c r="B137" s="14">
        <v>4.4000000000000004</v>
      </c>
      <c r="C137" s="17">
        <v>49468</v>
      </c>
      <c r="E137" s="14">
        <v>4.4000000000000004</v>
      </c>
      <c r="F137" s="17">
        <v>49468</v>
      </c>
    </row>
    <row r="138" spans="1:6" x14ac:dyDescent="0.25">
      <c r="A138" s="12" t="s">
        <v>197</v>
      </c>
      <c r="B138" s="14">
        <v>4.4000000000000004</v>
      </c>
      <c r="C138" s="17">
        <v>163368</v>
      </c>
      <c r="E138" s="14">
        <v>4.4000000000000004</v>
      </c>
      <c r="F138" s="17">
        <v>163368</v>
      </c>
    </row>
    <row r="139" spans="1:6" x14ac:dyDescent="0.25">
      <c r="A139" s="12" t="s">
        <v>27</v>
      </c>
      <c r="B139" s="14">
        <v>4.4000000000000004</v>
      </c>
      <c r="C139" s="17">
        <v>51520</v>
      </c>
      <c r="E139" s="14">
        <v>4.4000000000000004</v>
      </c>
      <c r="F139" s="17">
        <v>51520</v>
      </c>
    </row>
    <row r="140" spans="1:6" x14ac:dyDescent="0.25">
      <c r="A140" s="12" t="s">
        <v>447</v>
      </c>
      <c r="B140" s="14">
        <v>4.4000000000000004</v>
      </c>
      <c r="C140" s="17">
        <v>109729</v>
      </c>
      <c r="E140" s="14">
        <v>4.4000000000000004</v>
      </c>
      <c r="F140" s="17">
        <v>109729</v>
      </c>
    </row>
    <row r="141" spans="1:6" x14ac:dyDescent="0.25">
      <c r="A141" s="12" t="s">
        <v>331</v>
      </c>
      <c r="B141" s="14">
        <v>4.4000000000000004</v>
      </c>
      <c r="C141" s="17">
        <v>124288</v>
      </c>
      <c r="E141" s="14">
        <v>4.4000000000000004</v>
      </c>
      <c r="F141" s="17">
        <v>124288</v>
      </c>
    </row>
    <row r="142" spans="1:6" x14ac:dyDescent="0.25">
      <c r="A142" s="12" t="s">
        <v>465</v>
      </c>
      <c r="B142" s="14">
        <v>4.4000000000000004</v>
      </c>
      <c r="C142" s="17">
        <v>158268</v>
      </c>
      <c r="E142" s="14">
        <v>4.4000000000000004</v>
      </c>
      <c r="F142" s="17">
        <v>158268</v>
      </c>
    </row>
    <row r="143" spans="1:6" x14ac:dyDescent="0.25">
      <c r="A143" s="12" t="s">
        <v>157</v>
      </c>
      <c r="B143" s="14">
        <v>4.4000000000000004</v>
      </c>
      <c r="C143" s="17">
        <v>398561</v>
      </c>
      <c r="E143" s="14">
        <v>4.4000000000000004</v>
      </c>
      <c r="F143" s="17">
        <v>398561</v>
      </c>
    </row>
    <row r="144" spans="1:6" x14ac:dyDescent="0.25">
      <c r="A144" s="12" t="s">
        <v>217</v>
      </c>
      <c r="B144" s="14">
        <v>4.4000000000000004</v>
      </c>
      <c r="C144" s="17">
        <v>109707</v>
      </c>
      <c r="E144" s="14">
        <v>4.4000000000000004</v>
      </c>
      <c r="F144" s="17">
        <v>109707</v>
      </c>
    </row>
    <row r="145" spans="1:6" x14ac:dyDescent="0.25">
      <c r="A145" s="12" t="s">
        <v>146</v>
      </c>
      <c r="B145" s="14">
        <v>4.4000000000000004</v>
      </c>
      <c r="C145" s="17">
        <v>129310</v>
      </c>
      <c r="E145" s="14">
        <v>4.4000000000000004</v>
      </c>
      <c r="F145" s="17">
        <v>129310</v>
      </c>
    </row>
    <row r="146" spans="1:6" x14ac:dyDescent="0.25">
      <c r="A146" s="12" t="s">
        <v>592</v>
      </c>
      <c r="B146" s="14">
        <v>4.4000000000000004</v>
      </c>
      <c r="C146" s="17">
        <v>73210</v>
      </c>
      <c r="E146" s="14">
        <v>4.4000000000000004</v>
      </c>
      <c r="F146" s="17">
        <v>73210</v>
      </c>
    </row>
    <row r="147" spans="1:6" x14ac:dyDescent="0.25">
      <c r="A147" s="12" t="s">
        <v>590</v>
      </c>
      <c r="B147" s="14">
        <v>4.3571428571428568</v>
      </c>
      <c r="C147" s="17">
        <v>2155582</v>
      </c>
      <c r="E147" s="14">
        <v>4.3571428571428568</v>
      </c>
      <c r="F147" s="17">
        <v>2155582</v>
      </c>
    </row>
    <row r="148" spans="1:6" x14ac:dyDescent="0.25">
      <c r="A148" s="12" t="s">
        <v>176</v>
      </c>
      <c r="B148" s="14">
        <v>4.3000000000000007</v>
      </c>
      <c r="C148" s="17">
        <v>250998</v>
      </c>
      <c r="E148" s="14">
        <v>4.3000000000000007</v>
      </c>
      <c r="F148" s="17">
        <v>250998</v>
      </c>
    </row>
    <row r="149" spans="1:6" x14ac:dyDescent="0.25">
      <c r="A149" s="12" t="s">
        <v>510</v>
      </c>
      <c r="B149" s="14">
        <v>4.3</v>
      </c>
      <c r="C149" s="17">
        <v>147730</v>
      </c>
      <c r="E149" s="14">
        <v>4.3</v>
      </c>
      <c r="F149" s="17">
        <v>147730</v>
      </c>
    </row>
    <row r="150" spans="1:6" x14ac:dyDescent="0.25">
      <c r="A150" s="12" t="s">
        <v>178</v>
      </c>
      <c r="B150" s="14">
        <v>4.3</v>
      </c>
      <c r="C150" s="17">
        <v>113454</v>
      </c>
      <c r="E150" s="14">
        <v>4.3</v>
      </c>
      <c r="F150" s="17">
        <v>113454</v>
      </c>
    </row>
    <row r="151" spans="1:6" x14ac:dyDescent="0.25">
      <c r="A151" s="12" t="s">
        <v>402</v>
      </c>
      <c r="B151" s="14">
        <v>4.3</v>
      </c>
      <c r="C151" s="17">
        <v>100479</v>
      </c>
      <c r="E151" s="14">
        <v>4.3</v>
      </c>
      <c r="F151" s="17">
        <v>100479</v>
      </c>
    </row>
    <row r="152" spans="1:6" x14ac:dyDescent="0.25">
      <c r="A152" s="12" t="s">
        <v>312</v>
      </c>
      <c r="B152" s="14">
        <v>4.3</v>
      </c>
      <c r="C152" s="17">
        <v>168512</v>
      </c>
      <c r="E152" s="14">
        <v>4.3</v>
      </c>
      <c r="F152" s="17">
        <v>168512</v>
      </c>
    </row>
    <row r="153" spans="1:6" x14ac:dyDescent="0.25">
      <c r="A153" s="12" t="s">
        <v>139</v>
      </c>
      <c r="B153" s="14">
        <v>4.25</v>
      </c>
      <c r="C153" s="17">
        <v>75046</v>
      </c>
      <c r="E153" s="14">
        <v>4.25</v>
      </c>
      <c r="F153" s="17">
        <v>75046</v>
      </c>
    </row>
    <row r="154" spans="1:6" x14ac:dyDescent="0.25">
      <c r="A154" s="12" t="s">
        <v>263</v>
      </c>
      <c r="B154" s="14">
        <v>4.25</v>
      </c>
      <c r="C154" s="17">
        <v>118805</v>
      </c>
      <c r="E154" s="14">
        <v>4.25</v>
      </c>
      <c r="F154" s="17">
        <v>118805</v>
      </c>
    </row>
    <row r="155" spans="1:6" x14ac:dyDescent="0.25">
      <c r="A155" s="12" t="s">
        <v>208</v>
      </c>
      <c r="B155" s="14">
        <v>4.2</v>
      </c>
      <c r="C155" s="17">
        <v>107168</v>
      </c>
      <c r="E155" s="14">
        <v>4.2</v>
      </c>
      <c r="F155" s="17">
        <v>107168</v>
      </c>
    </row>
    <row r="156" spans="1:6" x14ac:dyDescent="0.25">
      <c r="A156" s="12" t="s">
        <v>605</v>
      </c>
      <c r="B156" s="14">
        <v>4.6525510204081622</v>
      </c>
      <c r="C156" s="14">
        <v>16762983</v>
      </c>
    </row>
    <row r="158" spans="1:6" ht="15.75" x14ac:dyDescent="0.25">
      <c r="A158" s="16" t="s">
        <v>613</v>
      </c>
    </row>
    <row r="159" spans="1:6" x14ac:dyDescent="0.25">
      <c r="A159" s="11" t="s">
        <v>2</v>
      </c>
      <c r="B159" s="8" t="s">
        <v>616</v>
      </c>
      <c r="C159" s="8" t="s">
        <v>615</v>
      </c>
      <c r="D159" s="8" t="s">
        <v>620</v>
      </c>
    </row>
    <row r="160" spans="1:6" x14ac:dyDescent="0.25">
      <c r="A160" s="12" t="s">
        <v>618</v>
      </c>
      <c r="B160" s="8">
        <v>14</v>
      </c>
      <c r="C160" s="8">
        <v>140015.14285714287</v>
      </c>
      <c r="D160" s="19">
        <v>7.1428571428571425E-2</v>
      </c>
    </row>
    <row r="161" spans="1:7" x14ac:dyDescent="0.25">
      <c r="A161" s="18">
        <v>4.0999999999999996</v>
      </c>
      <c r="B161" s="8">
        <v>1</v>
      </c>
      <c r="C161" s="17">
        <v>72785</v>
      </c>
      <c r="D161" s="19">
        <v>5.1020408163265302E-3</v>
      </c>
    </row>
    <row r="162" spans="1:7" x14ac:dyDescent="0.25">
      <c r="A162" s="18">
        <v>4.2</v>
      </c>
      <c r="B162" s="8">
        <v>7</v>
      </c>
      <c r="C162" s="17">
        <v>157083</v>
      </c>
      <c r="D162" s="19">
        <v>3.5714285714285712E-2</v>
      </c>
    </row>
    <row r="163" spans="1:7" x14ac:dyDescent="0.25">
      <c r="A163" s="18">
        <v>4.3</v>
      </c>
      <c r="B163" s="8">
        <v>6</v>
      </c>
      <c r="C163" s="17">
        <v>131307.66666666666</v>
      </c>
      <c r="D163" s="19">
        <v>3.0612244897959183E-2</v>
      </c>
    </row>
    <row r="164" spans="1:7" x14ac:dyDescent="0.25">
      <c r="A164" s="12" t="s">
        <v>619</v>
      </c>
      <c r="B164" s="8">
        <v>67</v>
      </c>
      <c r="C164" s="8">
        <v>119736.40298507463</v>
      </c>
      <c r="D164" s="19">
        <v>0.34183673469387754</v>
      </c>
    </row>
    <row r="165" spans="1:7" x14ac:dyDescent="0.25">
      <c r="A165" s="18">
        <v>4.4000000000000004</v>
      </c>
      <c r="B165" s="8">
        <v>18</v>
      </c>
      <c r="C165" s="17">
        <v>125093.16666666667</v>
      </c>
      <c r="D165" s="19">
        <v>9.1836734693877556E-2</v>
      </c>
    </row>
    <row r="166" spans="1:7" x14ac:dyDescent="0.25">
      <c r="A166" s="18">
        <v>4.5</v>
      </c>
      <c r="B166" s="8">
        <v>13</v>
      </c>
      <c r="C166" s="17">
        <v>161781.76923076922</v>
      </c>
      <c r="D166" s="19">
        <v>6.6326530612244902E-2</v>
      </c>
    </row>
    <row r="167" spans="1:7" x14ac:dyDescent="0.25">
      <c r="A167" s="18">
        <v>4.5999999999999996</v>
      </c>
      <c r="B167" s="8">
        <v>36</v>
      </c>
      <c r="C167" s="17">
        <v>101874.97222222222</v>
      </c>
      <c r="D167" s="19">
        <v>0.18367346938775511</v>
      </c>
    </row>
    <row r="168" spans="1:7" x14ac:dyDescent="0.25">
      <c r="A168" s="12" t="s">
        <v>617</v>
      </c>
      <c r="B168" s="8">
        <v>115</v>
      </c>
      <c r="C168" s="8">
        <v>58960.278260869563</v>
      </c>
      <c r="D168" s="19">
        <v>0.58673469387755106</v>
      </c>
    </row>
    <row r="169" spans="1:7" x14ac:dyDescent="0.25">
      <c r="A169" s="18">
        <v>4.7</v>
      </c>
      <c r="B169" s="8">
        <v>46</v>
      </c>
      <c r="C169" s="17">
        <v>80567.326086956527</v>
      </c>
      <c r="D169" s="19">
        <v>0.23469387755102042</v>
      </c>
    </row>
    <row r="170" spans="1:7" x14ac:dyDescent="0.25">
      <c r="A170" s="18">
        <v>4.8</v>
      </c>
      <c r="B170" s="8">
        <v>50</v>
      </c>
      <c r="C170" s="17">
        <v>48875.46</v>
      </c>
      <c r="D170" s="19">
        <v>0.25510204081632654</v>
      </c>
    </row>
    <row r="171" spans="1:7" x14ac:dyDescent="0.25">
      <c r="A171" s="18">
        <v>4.9000000000000004</v>
      </c>
      <c r="B171" s="8">
        <v>19</v>
      </c>
      <c r="C171" s="17">
        <v>33187.473684210527</v>
      </c>
      <c r="D171" s="19">
        <v>9.6938775510204078E-2</v>
      </c>
    </row>
    <row r="172" spans="1:7" x14ac:dyDescent="0.25">
      <c r="A172" s="12" t="s">
        <v>605</v>
      </c>
      <c r="B172" s="8">
        <v>196</v>
      </c>
      <c r="C172" s="8">
        <v>85525.423469387752</v>
      </c>
      <c r="D172" s="15">
        <v>1</v>
      </c>
    </row>
    <row r="174" spans="1:7" ht="15.75" x14ac:dyDescent="0.25">
      <c r="A174" s="16" t="s">
        <v>611</v>
      </c>
    </row>
    <row r="176" spans="1:7" x14ac:dyDescent="0.25">
      <c r="A176" s="11" t="s">
        <v>6</v>
      </c>
      <c r="B176" s="8" t="s">
        <v>616</v>
      </c>
      <c r="C176" s="8" t="s">
        <v>614</v>
      </c>
      <c r="E176" s="24" t="s">
        <v>6</v>
      </c>
      <c r="F176" s="24" t="s">
        <v>616</v>
      </c>
      <c r="G176" s="25"/>
    </row>
    <row r="177" spans="1:6" x14ac:dyDescent="0.25">
      <c r="A177" s="12" t="s">
        <v>17</v>
      </c>
      <c r="B177" s="8">
        <v>51</v>
      </c>
      <c r="C177" s="8">
        <v>9061394</v>
      </c>
      <c r="E177" s="22" t="s">
        <v>17</v>
      </c>
      <c r="F177" s="23">
        <v>51</v>
      </c>
    </row>
    <row r="178" spans="1:6" x14ac:dyDescent="0.25">
      <c r="A178" s="18" t="s">
        <v>407</v>
      </c>
      <c r="B178" s="8">
        <v>1</v>
      </c>
      <c r="C178" s="8">
        <v>145297</v>
      </c>
      <c r="E178" s="22" t="s">
        <v>61</v>
      </c>
      <c r="F178" s="23">
        <v>33</v>
      </c>
    </row>
    <row r="179" spans="1:6" x14ac:dyDescent="0.25">
      <c r="A179" s="18" t="s">
        <v>108</v>
      </c>
      <c r="B179" s="8">
        <v>1</v>
      </c>
      <c r="C179" s="8">
        <v>94536</v>
      </c>
      <c r="E179" s="22" t="s">
        <v>77</v>
      </c>
      <c r="F179" s="23">
        <v>17</v>
      </c>
    </row>
    <row r="180" spans="1:6" x14ac:dyDescent="0.25">
      <c r="A180" s="18" t="s">
        <v>510</v>
      </c>
      <c r="B180" s="8">
        <v>1</v>
      </c>
      <c r="C180" s="8">
        <v>147730</v>
      </c>
      <c r="E180" s="22" t="s">
        <v>54</v>
      </c>
      <c r="F180" s="23">
        <v>16</v>
      </c>
    </row>
    <row r="181" spans="1:6" x14ac:dyDescent="0.25">
      <c r="A181" s="18" t="s">
        <v>176</v>
      </c>
      <c r="B181" s="8">
        <v>1</v>
      </c>
      <c r="C181" s="8">
        <v>142671</v>
      </c>
      <c r="E181" s="22" t="s">
        <v>22</v>
      </c>
      <c r="F181" s="23">
        <v>11</v>
      </c>
    </row>
    <row r="182" spans="1:6" x14ac:dyDescent="0.25">
      <c r="A182" s="18" t="s">
        <v>217</v>
      </c>
      <c r="B182" s="8">
        <v>1</v>
      </c>
      <c r="C182" s="8">
        <v>109707</v>
      </c>
      <c r="E182" s="22" t="s">
        <v>42</v>
      </c>
      <c r="F182" s="23">
        <v>11</v>
      </c>
    </row>
    <row r="183" spans="1:6" x14ac:dyDescent="0.25">
      <c r="A183" s="18" t="s">
        <v>304</v>
      </c>
      <c r="B183" s="8">
        <v>1</v>
      </c>
      <c r="C183" s="8">
        <v>235857</v>
      </c>
      <c r="E183" s="22" t="s">
        <v>13</v>
      </c>
      <c r="F183" s="23">
        <v>10</v>
      </c>
    </row>
    <row r="184" spans="1:6" x14ac:dyDescent="0.25">
      <c r="A184" s="18" t="s">
        <v>477</v>
      </c>
      <c r="B184" s="8">
        <v>1</v>
      </c>
      <c r="C184" s="8">
        <v>101295</v>
      </c>
      <c r="E184" s="22" t="s">
        <v>37</v>
      </c>
      <c r="F184" s="23">
        <v>10</v>
      </c>
    </row>
    <row r="185" spans="1:6" x14ac:dyDescent="0.25">
      <c r="A185" s="18" t="s">
        <v>82</v>
      </c>
      <c r="B185" s="8">
        <v>1</v>
      </c>
      <c r="C185" s="8">
        <v>146667</v>
      </c>
      <c r="E185" s="22" t="s">
        <v>127</v>
      </c>
      <c r="F185" s="23">
        <v>7</v>
      </c>
    </row>
    <row r="186" spans="1:6" x14ac:dyDescent="0.25">
      <c r="A186" s="18" t="s">
        <v>31</v>
      </c>
      <c r="B186" s="8">
        <v>1</v>
      </c>
      <c r="C186" s="8">
        <v>322650</v>
      </c>
      <c r="E186" s="22" t="s">
        <v>374</v>
      </c>
      <c r="F186" s="23">
        <v>6</v>
      </c>
    </row>
    <row r="187" spans="1:6" x14ac:dyDescent="0.25">
      <c r="A187" s="18" t="s">
        <v>435</v>
      </c>
      <c r="B187" s="8">
        <v>1</v>
      </c>
      <c r="C187" s="8">
        <v>31249</v>
      </c>
    </row>
    <row r="188" spans="1:6" x14ac:dyDescent="0.25">
      <c r="A188" s="18" t="s">
        <v>545</v>
      </c>
      <c r="B188" s="8">
        <v>1</v>
      </c>
      <c r="C188" s="8">
        <v>46437</v>
      </c>
    </row>
    <row r="189" spans="1:6" x14ac:dyDescent="0.25">
      <c r="A189" s="18" t="s">
        <v>498</v>
      </c>
      <c r="B189" s="8">
        <v>1</v>
      </c>
      <c r="C189" s="8">
        <v>71453</v>
      </c>
    </row>
    <row r="190" spans="1:6" x14ac:dyDescent="0.25">
      <c r="A190" s="18" t="s">
        <v>44</v>
      </c>
      <c r="B190" s="8">
        <v>5</v>
      </c>
      <c r="C190" s="8">
        <v>1590316</v>
      </c>
    </row>
    <row r="191" spans="1:6" x14ac:dyDescent="0.25">
      <c r="A191" s="18" t="s">
        <v>208</v>
      </c>
      <c r="B191" s="8">
        <v>1</v>
      </c>
      <c r="C191" s="8">
        <v>107168</v>
      </c>
    </row>
    <row r="192" spans="1:6" x14ac:dyDescent="0.25">
      <c r="A192" s="18" t="s">
        <v>465</v>
      </c>
      <c r="B192" s="8">
        <v>1</v>
      </c>
      <c r="C192" s="8">
        <v>158268</v>
      </c>
    </row>
    <row r="193" spans="1:3" x14ac:dyDescent="0.25">
      <c r="A193" s="18" t="s">
        <v>554</v>
      </c>
      <c r="B193" s="8">
        <v>1</v>
      </c>
      <c r="C193" s="8">
        <v>50581</v>
      </c>
    </row>
    <row r="194" spans="1:3" x14ac:dyDescent="0.25">
      <c r="A194" s="18" t="s">
        <v>590</v>
      </c>
      <c r="B194" s="8">
        <v>1</v>
      </c>
      <c r="C194" s="8">
        <v>270851</v>
      </c>
    </row>
    <row r="195" spans="1:3" x14ac:dyDescent="0.25">
      <c r="A195" s="18" t="s">
        <v>146</v>
      </c>
      <c r="B195" s="8">
        <v>1</v>
      </c>
      <c r="C195" s="8">
        <v>129310</v>
      </c>
    </row>
    <row r="196" spans="1:3" x14ac:dyDescent="0.25">
      <c r="A196" s="18" t="s">
        <v>178</v>
      </c>
      <c r="B196" s="8">
        <v>1</v>
      </c>
      <c r="C196" s="8">
        <v>113454</v>
      </c>
    </row>
    <row r="197" spans="1:3" x14ac:dyDescent="0.25">
      <c r="A197" s="18" t="s">
        <v>223</v>
      </c>
      <c r="B197" s="8">
        <v>1</v>
      </c>
      <c r="C197" s="8">
        <v>86622</v>
      </c>
    </row>
    <row r="198" spans="1:3" x14ac:dyDescent="0.25">
      <c r="A198" s="18" t="s">
        <v>592</v>
      </c>
      <c r="B198" s="8">
        <v>1</v>
      </c>
      <c r="C198" s="8">
        <v>73210</v>
      </c>
    </row>
    <row r="199" spans="1:3" x14ac:dyDescent="0.25">
      <c r="A199" s="18" t="s">
        <v>259</v>
      </c>
      <c r="B199" s="8">
        <v>1</v>
      </c>
      <c r="C199" s="8">
        <v>14746</v>
      </c>
    </row>
    <row r="200" spans="1:3" x14ac:dyDescent="0.25">
      <c r="A200" s="18" t="s">
        <v>270</v>
      </c>
      <c r="B200" s="8">
        <v>3</v>
      </c>
      <c r="C200" s="8">
        <v>909363</v>
      </c>
    </row>
    <row r="201" spans="1:3" x14ac:dyDescent="0.25">
      <c r="A201" s="18" t="s">
        <v>312</v>
      </c>
      <c r="B201" s="8">
        <v>1</v>
      </c>
      <c r="C201" s="8">
        <v>168512</v>
      </c>
    </row>
    <row r="202" spans="1:3" x14ac:dyDescent="0.25">
      <c r="A202" s="18" t="s">
        <v>139</v>
      </c>
      <c r="B202" s="8">
        <v>2</v>
      </c>
      <c r="C202" s="8">
        <v>75046</v>
      </c>
    </row>
    <row r="203" spans="1:3" x14ac:dyDescent="0.25">
      <c r="A203" s="18" t="s">
        <v>447</v>
      </c>
      <c r="B203" s="8">
        <v>1</v>
      </c>
      <c r="C203" s="8">
        <v>109729</v>
      </c>
    </row>
    <row r="204" spans="1:3" x14ac:dyDescent="0.25">
      <c r="A204" s="18" t="s">
        <v>105</v>
      </c>
      <c r="B204" s="8">
        <v>2</v>
      </c>
      <c r="C204" s="8">
        <v>351306</v>
      </c>
    </row>
    <row r="205" spans="1:3" x14ac:dyDescent="0.25">
      <c r="A205" s="18" t="s">
        <v>14</v>
      </c>
      <c r="B205" s="8">
        <v>4</v>
      </c>
      <c r="C205" s="8">
        <v>1156263</v>
      </c>
    </row>
    <row r="206" spans="1:3" x14ac:dyDescent="0.25">
      <c r="A206" s="18" t="s">
        <v>85</v>
      </c>
      <c r="B206" s="8">
        <v>7</v>
      </c>
      <c r="C206" s="8">
        <v>1522334</v>
      </c>
    </row>
    <row r="207" spans="1:3" x14ac:dyDescent="0.25">
      <c r="A207" s="18" t="s">
        <v>601</v>
      </c>
      <c r="B207" s="8">
        <v>1</v>
      </c>
      <c r="C207" s="8">
        <v>22093</v>
      </c>
    </row>
    <row r="208" spans="1:3" x14ac:dyDescent="0.25">
      <c r="A208" s="18" t="s">
        <v>307</v>
      </c>
      <c r="B208" s="8">
        <v>2</v>
      </c>
      <c r="C208" s="8">
        <v>190451</v>
      </c>
    </row>
    <row r="209" spans="1:3" x14ac:dyDescent="0.25">
      <c r="A209" s="18" t="s">
        <v>68</v>
      </c>
      <c r="B209" s="8">
        <v>2</v>
      </c>
      <c r="C209" s="8">
        <v>366222</v>
      </c>
    </row>
    <row r="210" spans="1:3" x14ac:dyDescent="0.25">
      <c r="A210" s="12" t="s">
        <v>54</v>
      </c>
      <c r="B210" s="8">
        <v>16</v>
      </c>
      <c r="C210" s="8">
        <v>3172132</v>
      </c>
    </row>
    <row r="211" spans="1:3" x14ac:dyDescent="0.25">
      <c r="A211" s="18" t="s">
        <v>157</v>
      </c>
      <c r="B211" s="8">
        <v>1</v>
      </c>
      <c r="C211" s="8">
        <v>398561</v>
      </c>
    </row>
    <row r="212" spans="1:3" x14ac:dyDescent="0.25">
      <c r="A212" s="18" t="s">
        <v>493</v>
      </c>
      <c r="B212" s="8">
        <v>1</v>
      </c>
      <c r="C212" s="8">
        <v>186767</v>
      </c>
    </row>
    <row r="213" spans="1:3" x14ac:dyDescent="0.25">
      <c r="A213" s="18" t="s">
        <v>402</v>
      </c>
      <c r="B213" s="8">
        <v>1</v>
      </c>
      <c r="C213" s="8">
        <v>100479</v>
      </c>
    </row>
    <row r="214" spans="1:3" x14ac:dyDescent="0.25">
      <c r="A214" s="18" t="s">
        <v>412</v>
      </c>
      <c r="B214" s="8">
        <v>1</v>
      </c>
      <c r="C214" s="8">
        <v>97696</v>
      </c>
    </row>
    <row r="215" spans="1:3" x14ac:dyDescent="0.25">
      <c r="A215" s="18" t="s">
        <v>481</v>
      </c>
      <c r="B215" s="8">
        <v>1</v>
      </c>
      <c r="C215" s="8">
        <v>49468</v>
      </c>
    </row>
    <row r="216" spans="1:3" x14ac:dyDescent="0.25">
      <c r="A216" s="18" t="s">
        <v>590</v>
      </c>
      <c r="B216" s="8">
        <v>6</v>
      </c>
      <c r="C216" s="8">
        <v>1884731</v>
      </c>
    </row>
    <row r="217" spans="1:3" x14ac:dyDescent="0.25">
      <c r="A217" s="18" t="s">
        <v>197</v>
      </c>
      <c r="B217" s="8">
        <v>1</v>
      </c>
      <c r="C217" s="8">
        <v>163368</v>
      </c>
    </row>
    <row r="218" spans="1:3" x14ac:dyDescent="0.25">
      <c r="A218" s="18" t="s">
        <v>263</v>
      </c>
      <c r="B218" s="8">
        <v>2</v>
      </c>
      <c r="C218" s="8">
        <v>118805</v>
      </c>
    </row>
    <row r="219" spans="1:3" x14ac:dyDescent="0.25">
      <c r="A219" s="18" t="s">
        <v>160</v>
      </c>
      <c r="B219" s="8">
        <v>1</v>
      </c>
      <c r="C219" s="8">
        <v>129211</v>
      </c>
    </row>
    <row r="220" spans="1:3" x14ac:dyDescent="0.25">
      <c r="A220" s="18" t="s">
        <v>229</v>
      </c>
      <c r="B220" s="8">
        <v>1</v>
      </c>
      <c r="C220" s="8">
        <v>43046</v>
      </c>
    </row>
    <row r="221" spans="1:3" x14ac:dyDescent="0.25">
      <c r="A221" s="12" t="s">
        <v>61</v>
      </c>
      <c r="B221" s="8">
        <v>33</v>
      </c>
      <c r="C221" s="8">
        <v>1138095</v>
      </c>
    </row>
    <row r="222" spans="1:3" x14ac:dyDescent="0.25">
      <c r="A222" s="18" t="s">
        <v>267</v>
      </c>
      <c r="B222" s="8">
        <v>1</v>
      </c>
      <c r="C222" s="8">
        <v>20638</v>
      </c>
    </row>
    <row r="223" spans="1:3" x14ac:dyDescent="0.25">
      <c r="A223" s="18" t="s">
        <v>200</v>
      </c>
      <c r="B223" s="8">
        <v>3</v>
      </c>
      <c r="C223" s="8">
        <v>90394</v>
      </c>
    </row>
    <row r="224" spans="1:3" x14ac:dyDescent="0.25">
      <c r="A224" s="18" t="s">
        <v>370</v>
      </c>
      <c r="B224" s="8">
        <v>1</v>
      </c>
      <c r="C224" s="8">
        <v>6058</v>
      </c>
    </row>
    <row r="225" spans="1:3" x14ac:dyDescent="0.25">
      <c r="A225" s="18" t="s">
        <v>96</v>
      </c>
      <c r="B225" s="8">
        <v>1</v>
      </c>
      <c r="C225" s="8">
        <v>80263</v>
      </c>
    </row>
    <row r="226" spans="1:3" x14ac:dyDescent="0.25">
      <c r="A226" s="18" t="s">
        <v>205</v>
      </c>
      <c r="B226" s="8">
        <v>1</v>
      </c>
      <c r="C226" s="8">
        <v>75734</v>
      </c>
    </row>
    <row r="227" spans="1:3" x14ac:dyDescent="0.25">
      <c r="A227" s="18" t="s">
        <v>214</v>
      </c>
      <c r="B227" s="8">
        <v>1</v>
      </c>
      <c r="C227" s="8">
        <v>41314</v>
      </c>
    </row>
    <row r="228" spans="1:3" x14ac:dyDescent="0.25">
      <c r="A228" s="18" t="s">
        <v>111</v>
      </c>
      <c r="B228" s="8">
        <v>1</v>
      </c>
      <c r="C228" s="8">
        <v>55794</v>
      </c>
    </row>
    <row r="229" spans="1:3" x14ac:dyDescent="0.25">
      <c r="A229" s="18" t="s">
        <v>567</v>
      </c>
      <c r="B229" s="8">
        <v>1</v>
      </c>
      <c r="C229" s="8">
        <v>22304</v>
      </c>
    </row>
    <row r="230" spans="1:3" x14ac:dyDescent="0.25">
      <c r="A230" s="18" t="s">
        <v>385</v>
      </c>
      <c r="B230" s="8">
        <v>1</v>
      </c>
      <c r="C230" s="8">
        <v>25729</v>
      </c>
    </row>
    <row r="231" spans="1:3" x14ac:dyDescent="0.25">
      <c r="A231" s="18" t="s">
        <v>423</v>
      </c>
      <c r="B231" s="8">
        <v>1</v>
      </c>
      <c r="C231" s="8">
        <v>10381</v>
      </c>
    </row>
    <row r="232" spans="1:3" x14ac:dyDescent="0.25">
      <c r="A232" s="18" t="s">
        <v>320</v>
      </c>
      <c r="B232" s="8">
        <v>1</v>
      </c>
      <c r="C232" s="8">
        <v>89173</v>
      </c>
    </row>
    <row r="233" spans="1:3" x14ac:dyDescent="0.25">
      <c r="A233" s="18" t="s">
        <v>429</v>
      </c>
      <c r="B233" s="8">
        <v>1</v>
      </c>
      <c r="C233" s="8">
        <v>17396</v>
      </c>
    </row>
    <row r="234" spans="1:3" x14ac:dyDescent="0.25">
      <c r="A234" s="18" t="s">
        <v>132</v>
      </c>
      <c r="B234" s="8">
        <v>1</v>
      </c>
      <c r="C234" s="8">
        <v>53602</v>
      </c>
    </row>
    <row r="235" spans="1:3" x14ac:dyDescent="0.25">
      <c r="A235" s="18" t="s">
        <v>598</v>
      </c>
      <c r="B235" s="8">
        <v>1</v>
      </c>
      <c r="C235" s="8">
        <v>7914</v>
      </c>
    </row>
    <row r="236" spans="1:3" x14ac:dyDescent="0.25">
      <c r="A236" s="18" t="s">
        <v>151</v>
      </c>
      <c r="B236" s="8">
        <v>1</v>
      </c>
      <c r="C236" s="8">
        <v>32274</v>
      </c>
    </row>
    <row r="237" spans="1:3" x14ac:dyDescent="0.25">
      <c r="A237" s="18" t="s">
        <v>56</v>
      </c>
      <c r="B237" s="8">
        <v>1</v>
      </c>
      <c r="C237" s="8">
        <v>78436</v>
      </c>
    </row>
    <row r="238" spans="1:3" x14ac:dyDescent="0.25">
      <c r="A238" s="18" t="s">
        <v>522</v>
      </c>
      <c r="B238" s="8">
        <v>1</v>
      </c>
      <c r="C238" s="8">
        <v>35944</v>
      </c>
    </row>
    <row r="239" spans="1:3" x14ac:dyDescent="0.25">
      <c r="A239" s="18" t="s">
        <v>551</v>
      </c>
      <c r="B239" s="8">
        <v>1</v>
      </c>
      <c r="C239" s="8">
        <v>19727</v>
      </c>
    </row>
    <row r="240" spans="1:3" x14ac:dyDescent="0.25">
      <c r="A240" s="18" t="s">
        <v>594</v>
      </c>
      <c r="B240" s="8">
        <v>1</v>
      </c>
      <c r="C240" s="8">
        <v>65142</v>
      </c>
    </row>
    <row r="241" spans="1:3" x14ac:dyDescent="0.25">
      <c r="A241" s="18" t="s">
        <v>92</v>
      </c>
      <c r="B241" s="8">
        <v>2</v>
      </c>
      <c r="C241" s="8">
        <v>18893</v>
      </c>
    </row>
    <row r="242" spans="1:3" x14ac:dyDescent="0.25">
      <c r="A242" s="18" t="s">
        <v>432</v>
      </c>
      <c r="B242" s="8">
        <v>1</v>
      </c>
      <c r="C242" s="8">
        <v>8150</v>
      </c>
    </row>
    <row r="243" spans="1:3" x14ac:dyDescent="0.25">
      <c r="A243" s="18" t="s">
        <v>561</v>
      </c>
      <c r="B243" s="8">
        <v>1</v>
      </c>
      <c r="C243" s="8">
        <v>23786</v>
      </c>
    </row>
    <row r="244" spans="1:3" x14ac:dyDescent="0.25">
      <c r="A244" s="18" t="s">
        <v>591</v>
      </c>
      <c r="B244" s="8">
        <v>2</v>
      </c>
      <c r="C244" s="8">
        <v>52915</v>
      </c>
    </row>
    <row r="245" spans="1:3" x14ac:dyDescent="0.25">
      <c r="A245" s="18" t="s">
        <v>595</v>
      </c>
      <c r="B245" s="8">
        <v>1</v>
      </c>
      <c r="C245" s="8">
        <v>67104</v>
      </c>
    </row>
    <row r="246" spans="1:3" x14ac:dyDescent="0.25">
      <c r="A246" s="18" t="s">
        <v>118</v>
      </c>
      <c r="B246" s="8">
        <v>1</v>
      </c>
      <c r="C246" s="8">
        <v>14622</v>
      </c>
    </row>
    <row r="247" spans="1:3" x14ac:dyDescent="0.25">
      <c r="A247" s="18" t="s">
        <v>559</v>
      </c>
      <c r="B247" s="8">
        <v>1</v>
      </c>
      <c r="C247" s="8">
        <v>3576</v>
      </c>
    </row>
    <row r="248" spans="1:3" x14ac:dyDescent="0.25">
      <c r="A248" s="18" t="s">
        <v>527</v>
      </c>
      <c r="B248" s="8">
        <v>1</v>
      </c>
      <c r="C248" s="8">
        <v>19562</v>
      </c>
    </row>
    <row r="249" spans="1:3" x14ac:dyDescent="0.25">
      <c r="A249" s="18" t="s">
        <v>556</v>
      </c>
      <c r="B249" s="8">
        <v>1</v>
      </c>
      <c r="C249" s="8">
        <v>12949</v>
      </c>
    </row>
    <row r="250" spans="1:3" x14ac:dyDescent="0.25">
      <c r="A250" s="18" t="s">
        <v>136</v>
      </c>
      <c r="B250" s="8">
        <v>1</v>
      </c>
      <c r="C250" s="8">
        <v>88321</v>
      </c>
    </row>
    <row r="251" spans="1:3" x14ac:dyDescent="0.25">
      <c r="A251" s="12" t="s">
        <v>13</v>
      </c>
      <c r="B251" s="8">
        <v>10</v>
      </c>
      <c r="C251" s="8">
        <v>819095</v>
      </c>
    </row>
    <row r="252" spans="1:3" x14ac:dyDescent="0.25">
      <c r="A252" s="18" t="s">
        <v>248</v>
      </c>
      <c r="B252" s="8">
        <v>1</v>
      </c>
      <c r="C252" s="8">
        <v>109703</v>
      </c>
    </row>
    <row r="253" spans="1:3" x14ac:dyDescent="0.25">
      <c r="A253" s="18" t="s">
        <v>256</v>
      </c>
      <c r="B253" s="8">
        <v>1</v>
      </c>
      <c r="C253" s="8">
        <v>104512</v>
      </c>
    </row>
    <row r="254" spans="1:3" x14ac:dyDescent="0.25">
      <c r="A254" s="18" t="s">
        <v>318</v>
      </c>
      <c r="B254" s="8">
        <v>1</v>
      </c>
      <c r="C254" s="8">
        <v>91554</v>
      </c>
    </row>
    <row r="255" spans="1:3" x14ac:dyDescent="0.25">
      <c r="A255" s="18" t="s">
        <v>8</v>
      </c>
      <c r="B255" s="8">
        <v>1</v>
      </c>
      <c r="C255" s="8">
        <v>145747</v>
      </c>
    </row>
    <row r="256" spans="1:3" x14ac:dyDescent="0.25">
      <c r="A256" s="18" t="s">
        <v>79</v>
      </c>
      <c r="B256" s="8">
        <v>1</v>
      </c>
      <c r="C256" s="8">
        <v>119661</v>
      </c>
    </row>
    <row r="257" spans="1:3" x14ac:dyDescent="0.25">
      <c r="A257" s="18" t="s">
        <v>367</v>
      </c>
      <c r="B257" s="8">
        <v>1</v>
      </c>
      <c r="C257" s="8">
        <v>22994</v>
      </c>
    </row>
    <row r="258" spans="1:3" x14ac:dyDescent="0.25">
      <c r="A258" s="18" t="s">
        <v>166</v>
      </c>
      <c r="B258" s="8">
        <v>1</v>
      </c>
      <c r="C258" s="8">
        <v>3296</v>
      </c>
    </row>
    <row r="259" spans="1:3" x14ac:dyDescent="0.25">
      <c r="A259" s="18" t="s">
        <v>277</v>
      </c>
      <c r="B259" s="8">
        <v>1</v>
      </c>
      <c r="C259" s="8">
        <v>27090</v>
      </c>
    </row>
    <row r="260" spans="1:3" x14ac:dyDescent="0.25">
      <c r="A260" s="18" t="s">
        <v>285</v>
      </c>
      <c r="B260" s="8">
        <v>1</v>
      </c>
      <c r="C260" s="8">
        <v>158416</v>
      </c>
    </row>
    <row r="261" spans="1:3" x14ac:dyDescent="0.25">
      <c r="A261" s="18" t="s">
        <v>415</v>
      </c>
      <c r="B261" s="8">
        <v>1</v>
      </c>
      <c r="C261" s="8">
        <v>36122</v>
      </c>
    </row>
    <row r="262" spans="1:3" x14ac:dyDescent="0.25">
      <c r="A262" s="12" t="s">
        <v>37</v>
      </c>
      <c r="B262" s="8">
        <v>10</v>
      </c>
      <c r="C262" s="8">
        <v>577978</v>
      </c>
    </row>
    <row r="263" spans="1:3" x14ac:dyDescent="0.25">
      <c r="A263" s="18" t="s">
        <v>63</v>
      </c>
      <c r="B263" s="8">
        <v>1</v>
      </c>
      <c r="C263" s="8">
        <v>80996</v>
      </c>
    </row>
    <row r="264" spans="1:3" x14ac:dyDescent="0.25">
      <c r="A264" s="18" t="s">
        <v>444</v>
      </c>
      <c r="B264" s="8">
        <v>2</v>
      </c>
      <c r="C264" s="8">
        <v>214782</v>
      </c>
    </row>
    <row r="265" spans="1:3" x14ac:dyDescent="0.25">
      <c r="A265" s="18" t="s">
        <v>486</v>
      </c>
      <c r="B265" s="8">
        <v>1</v>
      </c>
      <c r="C265" s="8">
        <v>9378</v>
      </c>
    </row>
    <row r="266" spans="1:3" x14ac:dyDescent="0.25">
      <c r="A266" s="18" t="s">
        <v>513</v>
      </c>
      <c r="B266" s="8">
        <v>1</v>
      </c>
      <c r="C266" s="8">
        <v>7711</v>
      </c>
    </row>
    <row r="267" spans="1:3" x14ac:dyDescent="0.25">
      <c r="A267" s="18" t="s">
        <v>226</v>
      </c>
      <c r="B267" s="8">
        <v>1</v>
      </c>
      <c r="C267" s="8">
        <v>18227</v>
      </c>
    </row>
    <row r="268" spans="1:3" x14ac:dyDescent="0.25">
      <c r="A268" s="18" t="s">
        <v>220</v>
      </c>
      <c r="B268" s="8">
        <v>1</v>
      </c>
      <c r="C268" s="8">
        <v>5751</v>
      </c>
    </row>
    <row r="269" spans="1:3" x14ac:dyDescent="0.25">
      <c r="A269" s="18" t="s">
        <v>376</v>
      </c>
      <c r="B269" s="8">
        <v>1</v>
      </c>
      <c r="C269" s="8">
        <v>95147</v>
      </c>
    </row>
    <row r="270" spans="1:3" x14ac:dyDescent="0.25">
      <c r="A270" s="18" t="s">
        <v>441</v>
      </c>
      <c r="B270" s="8">
        <v>1</v>
      </c>
      <c r="C270" s="8">
        <v>58611</v>
      </c>
    </row>
    <row r="271" spans="1:3" x14ac:dyDescent="0.25">
      <c r="A271" s="18" t="s">
        <v>35</v>
      </c>
      <c r="B271" s="8">
        <v>1</v>
      </c>
      <c r="C271" s="8">
        <v>87375</v>
      </c>
    </row>
    <row r="272" spans="1:3" x14ac:dyDescent="0.25">
      <c r="A272" s="12" t="s">
        <v>22</v>
      </c>
      <c r="B272" s="8">
        <v>11</v>
      </c>
      <c r="C272" s="8">
        <v>442807</v>
      </c>
    </row>
    <row r="273" spans="1:3" x14ac:dyDescent="0.25">
      <c r="A273" s="18" t="s">
        <v>27</v>
      </c>
      <c r="B273" s="8">
        <v>1</v>
      </c>
      <c r="C273" s="8">
        <v>51520</v>
      </c>
    </row>
    <row r="274" spans="1:3" x14ac:dyDescent="0.25">
      <c r="A274" s="18" t="s">
        <v>63</v>
      </c>
      <c r="B274" s="8">
        <v>1</v>
      </c>
      <c r="C274" s="8">
        <v>39574</v>
      </c>
    </row>
    <row r="275" spans="1:3" x14ac:dyDescent="0.25">
      <c r="A275" s="18" t="s">
        <v>388</v>
      </c>
      <c r="B275" s="8">
        <v>1</v>
      </c>
      <c r="C275" s="8">
        <v>15013</v>
      </c>
    </row>
    <row r="276" spans="1:3" x14ac:dyDescent="0.25">
      <c r="A276" s="18" t="s">
        <v>426</v>
      </c>
      <c r="B276" s="8">
        <v>1</v>
      </c>
      <c r="C276" s="8">
        <v>13716</v>
      </c>
    </row>
    <row r="277" spans="1:3" x14ac:dyDescent="0.25">
      <c r="A277" s="18" t="s">
        <v>288</v>
      </c>
      <c r="B277" s="8">
        <v>1</v>
      </c>
      <c r="C277" s="8">
        <v>13739</v>
      </c>
    </row>
    <row r="278" spans="1:3" x14ac:dyDescent="0.25">
      <c r="A278" s="18" t="s">
        <v>169</v>
      </c>
      <c r="B278" s="8">
        <v>1</v>
      </c>
      <c r="C278" s="8">
        <v>17084</v>
      </c>
    </row>
    <row r="279" spans="1:3" x14ac:dyDescent="0.25">
      <c r="A279" s="18" t="s">
        <v>350</v>
      </c>
      <c r="B279" s="8">
        <v>1</v>
      </c>
      <c r="C279" s="8">
        <v>12421</v>
      </c>
    </row>
    <row r="280" spans="1:3" x14ac:dyDescent="0.25">
      <c r="A280" s="18" t="s">
        <v>295</v>
      </c>
      <c r="B280" s="8">
        <v>1</v>
      </c>
      <c r="C280" s="8">
        <v>123058</v>
      </c>
    </row>
    <row r="281" spans="1:3" x14ac:dyDescent="0.25">
      <c r="A281" s="18" t="s">
        <v>587</v>
      </c>
      <c r="B281" s="8">
        <v>1</v>
      </c>
      <c r="C281" s="8">
        <v>116101</v>
      </c>
    </row>
    <row r="282" spans="1:3" x14ac:dyDescent="0.25">
      <c r="A282" s="18" t="s">
        <v>533</v>
      </c>
      <c r="B282" s="8">
        <v>1</v>
      </c>
      <c r="C282" s="8">
        <v>17892</v>
      </c>
    </row>
    <row r="283" spans="1:3" x14ac:dyDescent="0.25">
      <c r="A283" s="18" t="s">
        <v>191</v>
      </c>
      <c r="B283" s="8">
        <v>1</v>
      </c>
      <c r="C283" s="8">
        <v>22689</v>
      </c>
    </row>
    <row r="284" spans="1:3" x14ac:dyDescent="0.25">
      <c r="A284" s="12" t="s">
        <v>127</v>
      </c>
      <c r="B284" s="8">
        <v>7</v>
      </c>
      <c r="C284" s="8">
        <v>251266</v>
      </c>
    </row>
    <row r="285" spans="1:3" x14ac:dyDescent="0.25">
      <c r="A285" s="18" t="s">
        <v>542</v>
      </c>
      <c r="B285" s="8">
        <v>1</v>
      </c>
      <c r="C285" s="8">
        <v>6031</v>
      </c>
    </row>
    <row r="286" spans="1:3" x14ac:dyDescent="0.25">
      <c r="A286" s="18" t="s">
        <v>573</v>
      </c>
      <c r="B286" s="8">
        <v>1</v>
      </c>
      <c r="C286" s="8">
        <v>3433</v>
      </c>
    </row>
    <row r="287" spans="1:3" x14ac:dyDescent="0.25">
      <c r="A287" s="18" t="s">
        <v>163</v>
      </c>
      <c r="B287" s="8">
        <v>1</v>
      </c>
      <c r="C287" s="8">
        <v>68563</v>
      </c>
    </row>
    <row r="288" spans="1:3" x14ac:dyDescent="0.25">
      <c r="A288" s="18" t="s">
        <v>241</v>
      </c>
      <c r="B288" s="8">
        <v>1</v>
      </c>
      <c r="C288" s="8">
        <v>29360</v>
      </c>
    </row>
    <row r="289" spans="1:3" x14ac:dyDescent="0.25">
      <c r="A289" s="18" t="s">
        <v>280</v>
      </c>
      <c r="B289" s="8">
        <v>1</v>
      </c>
      <c r="C289" s="8">
        <v>14647</v>
      </c>
    </row>
    <row r="290" spans="1:3" x14ac:dyDescent="0.25">
      <c r="A290" s="18" t="s">
        <v>194</v>
      </c>
      <c r="B290" s="8">
        <v>1</v>
      </c>
      <c r="C290" s="8">
        <v>23034</v>
      </c>
    </row>
    <row r="291" spans="1:3" x14ac:dyDescent="0.25">
      <c r="A291" s="18" t="s">
        <v>125</v>
      </c>
      <c r="B291" s="8">
        <v>1</v>
      </c>
      <c r="C291" s="8">
        <v>106198</v>
      </c>
    </row>
    <row r="292" spans="1:3" x14ac:dyDescent="0.25">
      <c r="A292" s="12" t="s">
        <v>42</v>
      </c>
      <c r="B292" s="8">
        <v>11</v>
      </c>
      <c r="C292" s="8">
        <v>209000</v>
      </c>
    </row>
    <row r="293" spans="1:3" x14ac:dyDescent="0.25">
      <c r="A293" s="18" t="s">
        <v>588</v>
      </c>
      <c r="B293" s="8">
        <v>1</v>
      </c>
      <c r="C293" s="8">
        <v>82564</v>
      </c>
    </row>
    <row r="294" spans="1:3" x14ac:dyDescent="0.25">
      <c r="A294" s="18" t="s">
        <v>596</v>
      </c>
      <c r="B294" s="8">
        <v>1</v>
      </c>
      <c r="C294" s="8">
        <v>5091</v>
      </c>
    </row>
    <row r="295" spans="1:3" x14ac:dyDescent="0.25">
      <c r="A295" s="18" t="s">
        <v>397</v>
      </c>
      <c r="B295" s="8">
        <v>1</v>
      </c>
      <c r="C295" s="8">
        <v>23656</v>
      </c>
    </row>
    <row r="296" spans="1:3" x14ac:dyDescent="0.25">
      <c r="A296" s="18" t="s">
        <v>291</v>
      </c>
      <c r="B296" s="8">
        <v>1</v>
      </c>
      <c r="C296" s="8">
        <v>7992</v>
      </c>
    </row>
    <row r="297" spans="1:3" x14ac:dyDescent="0.25">
      <c r="A297" s="18" t="s">
        <v>470</v>
      </c>
      <c r="B297" s="8">
        <v>1</v>
      </c>
      <c r="C297" s="8">
        <v>14335</v>
      </c>
    </row>
    <row r="298" spans="1:3" x14ac:dyDescent="0.25">
      <c r="A298" s="18" t="s">
        <v>309</v>
      </c>
      <c r="B298" s="8">
        <v>1</v>
      </c>
      <c r="C298" s="8">
        <v>30260</v>
      </c>
    </row>
    <row r="299" spans="1:3" x14ac:dyDescent="0.25">
      <c r="A299" s="18" t="s">
        <v>599</v>
      </c>
      <c r="B299" s="8">
        <v>1</v>
      </c>
      <c r="C299" s="8">
        <v>3765</v>
      </c>
    </row>
    <row r="300" spans="1:3" x14ac:dyDescent="0.25">
      <c r="A300" s="18" t="s">
        <v>166</v>
      </c>
      <c r="B300" s="8">
        <v>1</v>
      </c>
      <c r="C300" s="8">
        <v>6331</v>
      </c>
    </row>
    <row r="301" spans="1:3" x14ac:dyDescent="0.25">
      <c r="A301" s="18" t="s">
        <v>597</v>
      </c>
      <c r="B301" s="8">
        <v>1</v>
      </c>
      <c r="C301" s="8">
        <v>4255</v>
      </c>
    </row>
    <row r="302" spans="1:3" x14ac:dyDescent="0.25">
      <c r="A302" s="18" t="s">
        <v>589</v>
      </c>
      <c r="B302" s="8">
        <v>1</v>
      </c>
      <c r="C302" s="8">
        <v>19946</v>
      </c>
    </row>
    <row r="303" spans="1:3" x14ac:dyDescent="0.25">
      <c r="A303" s="18" t="s">
        <v>71</v>
      </c>
      <c r="B303" s="8">
        <v>1</v>
      </c>
      <c r="C303" s="8">
        <v>10805</v>
      </c>
    </row>
    <row r="304" spans="1:3" x14ac:dyDescent="0.25">
      <c r="A304" s="12" t="s">
        <v>77</v>
      </c>
      <c r="B304" s="8">
        <v>17</v>
      </c>
      <c r="C304" s="8">
        <v>186413</v>
      </c>
    </row>
    <row r="305" spans="1:3" x14ac:dyDescent="0.25">
      <c r="A305" s="18" t="s">
        <v>361</v>
      </c>
      <c r="B305" s="8">
        <v>5</v>
      </c>
      <c r="C305" s="8">
        <v>41554</v>
      </c>
    </row>
    <row r="306" spans="1:3" x14ac:dyDescent="0.25">
      <c r="A306" s="18" t="s">
        <v>353</v>
      </c>
      <c r="B306" s="8">
        <v>1</v>
      </c>
      <c r="C306" s="8">
        <v>6506</v>
      </c>
    </row>
    <row r="307" spans="1:3" x14ac:dyDescent="0.25">
      <c r="A307" s="18" t="s">
        <v>450</v>
      </c>
      <c r="B307" s="8">
        <v>2</v>
      </c>
      <c r="C307" s="8">
        <v>17803</v>
      </c>
    </row>
    <row r="308" spans="1:3" x14ac:dyDescent="0.25">
      <c r="A308" s="18" t="s">
        <v>339</v>
      </c>
      <c r="B308" s="8">
        <v>1</v>
      </c>
      <c r="C308" s="8">
        <v>13431</v>
      </c>
    </row>
    <row r="309" spans="1:3" x14ac:dyDescent="0.25">
      <c r="A309" s="18" t="s">
        <v>391</v>
      </c>
      <c r="B309" s="8">
        <v>1</v>
      </c>
      <c r="C309" s="8">
        <v>34573</v>
      </c>
    </row>
    <row r="310" spans="1:3" x14ac:dyDescent="0.25">
      <c r="A310" s="18" t="s">
        <v>143</v>
      </c>
      <c r="B310" s="8">
        <v>1</v>
      </c>
      <c r="C310" s="8">
        <v>31124</v>
      </c>
    </row>
    <row r="311" spans="1:3" x14ac:dyDescent="0.25">
      <c r="A311" s="18" t="s">
        <v>503</v>
      </c>
      <c r="B311" s="8">
        <v>1</v>
      </c>
      <c r="C311" s="8">
        <v>6749</v>
      </c>
    </row>
    <row r="312" spans="1:3" x14ac:dyDescent="0.25">
      <c r="A312" s="18" t="s">
        <v>172</v>
      </c>
      <c r="B312" s="8">
        <v>2</v>
      </c>
      <c r="C312" s="8">
        <v>16518</v>
      </c>
    </row>
    <row r="313" spans="1:3" x14ac:dyDescent="0.25">
      <c r="A313" s="18" t="s">
        <v>491</v>
      </c>
      <c r="B313" s="8">
        <v>1</v>
      </c>
      <c r="C313" s="8">
        <v>3004</v>
      </c>
    </row>
    <row r="314" spans="1:3" x14ac:dyDescent="0.25">
      <c r="A314" s="18" t="s">
        <v>409</v>
      </c>
      <c r="B314" s="8">
        <v>1</v>
      </c>
      <c r="C314" s="8">
        <v>5807</v>
      </c>
    </row>
    <row r="315" spans="1:3" x14ac:dyDescent="0.25">
      <c r="A315" s="18" t="s">
        <v>74</v>
      </c>
      <c r="B315" s="8">
        <v>1</v>
      </c>
      <c r="C315" s="8">
        <v>9344</v>
      </c>
    </row>
    <row r="316" spans="1:3" x14ac:dyDescent="0.25">
      <c r="A316" s="12" t="s">
        <v>374</v>
      </c>
      <c r="B316" s="8">
        <v>6</v>
      </c>
      <c r="C316" s="8">
        <v>91105</v>
      </c>
    </row>
    <row r="317" spans="1:3" x14ac:dyDescent="0.25">
      <c r="A317" s="18" t="s">
        <v>576</v>
      </c>
      <c r="B317" s="8">
        <v>1</v>
      </c>
      <c r="C317" s="8">
        <v>3098</v>
      </c>
    </row>
    <row r="318" spans="1:3" x14ac:dyDescent="0.25">
      <c r="A318" s="18" t="s">
        <v>495</v>
      </c>
      <c r="B318" s="8">
        <v>1</v>
      </c>
      <c r="C318" s="8">
        <v>476</v>
      </c>
    </row>
    <row r="319" spans="1:3" x14ac:dyDescent="0.25">
      <c r="A319" s="18" t="s">
        <v>393</v>
      </c>
      <c r="B319" s="8">
        <v>1</v>
      </c>
      <c r="C319" s="8">
        <v>15513</v>
      </c>
    </row>
    <row r="320" spans="1:3" x14ac:dyDescent="0.25">
      <c r="A320" s="18" t="s">
        <v>373</v>
      </c>
      <c r="B320" s="8">
        <v>1</v>
      </c>
      <c r="C320" s="8">
        <v>30755</v>
      </c>
    </row>
    <row r="321" spans="1:3" x14ac:dyDescent="0.25">
      <c r="A321" s="18" t="s">
        <v>455</v>
      </c>
      <c r="B321" s="8">
        <v>1</v>
      </c>
      <c r="C321" s="8">
        <v>13299</v>
      </c>
    </row>
    <row r="322" spans="1:3" x14ac:dyDescent="0.25">
      <c r="A322" s="18" t="s">
        <v>600</v>
      </c>
      <c r="B322" s="8">
        <v>1</v>
      </c>
      <c r="C322" s="8">
        <v>27964</v>
      </c>
    </row>
    <row r="323" spans="1:3" x14ac:dyDescent="0.25">
      <c r="A323" s="12" t="s">
        <v>605</v>
      </c>
      <c r="B323" s="8">
        <v>172</v>
      </c>
      <c r="C323" s="8">
        <v>15949285</v>
      </c>
    </row>
    <row r="325" spans="1:3" ht="18.75" x14ac:dyDescent="0.3">
      <c r="A325" s="13" t="s">
        <v>612</v>
      </c>
    </row>
    <row r="326" spans="1:3" x14ac:dyDescent="0.25">
      <c r="A326" s="11" t="s">
        <v>603</v>
      </c>
      <c r="B326" s="8" t="s">
        <v>621</v>
      </c>
    </row>
    <row r="328" spans="1:3" x14ac:dyDescent="0.25">
      <c r="A328" s="11" t="s">
        <v>610</v>
      </c>
      <c r="B328" s="8" t="s">
        <v>616</v>
      </c>
      <c r="C328" s="8" t="s">
        <v>609</v>
      </c>
    </row>
    <row r="329" spans="1:3" x14ac:dyDescent="0.25">
      <c r="A329" s="12" t="s">
        <v>58</v>
      </c>
      <c r="B329" s="8">
        <v>15</v>
      </c>
      <c r="C329" s="15">
        <v>0.48804667288252745</v>
      </c>
    </row>
    <row r="330" spans="1:3" x14ac:dyDescent="0.25">
      <c r="A330" s="12" t="s">
        <v>236</v>
      </c>
      <c r="B330" s="8">
        <v>1</v>
      </c>
      <c r="C330" s="15">
        <v>0.2561786080729555</v>
      </c>
    </row>
    <row r="331" spans="1:3" x14ac:dyDescent="0.25">
      <c r="A331" s="12" t="s">
        <v>10</v>
      </c>
      <c r="B331" s="8">
        <v>81</v>
      </c>
      <c r="C331" s="15">
        <v>1.1053271965243745</v>
      </c>
    </row>
    <row r="332" spans="1:3" x14ac:dyDescent="0.25">
      <c r="A332" s="12" t="s">
        <v>394</v>
      </c>
      <c r="B332" s="8">
        <v>1</v>
      </c>
      <c r="C332" s="15">
        <v>2.1395503293128924</v>
      </c>
    </row>
    <row r="333" spans="1:3" x14ac:dyDescent="0.25">
      <c r="A333" s="12" t="s">
        <v>24</v>
      </c>
      <c r="B333" s="8">
        <v>97</v>
      </c>
      <c r="C333" s="15">
        <v>0.99192109289244401</v>
      </c>
    </row>
    <row r="334" spans="1:3" x14ac:dyDescent="0.25">
      <c r="A334" s="12" t="s">
        <v>504</v>
      </c>
      <c r="B334" s="8">
        <v>1</v>
      </c>
      <c r="C334" s="15">
        <v>0.53572204033497539</v>
      </c>
    </row>
    <row r="335" spans="1:3" x14ac:dyDescent="0.25">
      <c r="A335" s="12" t="s">
        <v>605</v>
      </c>
      <c r="B335" s="8">
        <v>196</v>
      </c>
      <c r="C335" s="15">
        <v>1</v>
      </c>
    </row>
    <row r="337" spans="1:5" x14ac:dyDescent="0.25">
      <c r="A337" s="26" t="s">
        <v>622</v>
      </c>
    </row>
    <row r="339" spans="1:5" x14ac:dyDescent="0.25">
      <c r="A339" s="11" t="s">
        <v>623</v>
      </c>
      <c r="B339" s="11" t="s">
        <v>627</v>
      </c>
      <c r="C339" s="8"/>
      <c r="D339" s="8"/>
      <c r="E339" s="8"/>
    </row>
    <row r="340" spans="1:5" x14ac:dyDescent="0.25">
      <c r="A340" s="11" t="s">
        <v>6</v>
      </c>
      <c r="B340" s="27" t="s">
        <v>624</v>
      </c>
      <c r="C340" s="27" t="s">
        <v>625</v>
      </c>
      <c r="D340" s="27" t="s">
        <v>626</v>
      </c>
      <c r="E340" s="8" t="s">
        <v>605</v>
      </c>
    </row>
    <row r="341" spans="1:5" x14ac:dyDescent="0.25">
      <c r="A341" s="12" t="s">
        <v>17</v>
      </c>
      <c r="B341" s="27">
        <v>49</v>
      </c>
      <c r="C341" s="27">
        <v>2</v>
      </c>
      <c r="D341" s="27"/>
      <c r="E341" s="8">
        <v>51</v>
      </c>
    </row>
    <row r="342" spans="1:5" x14ac:dyDescent="0.25">
      <c r="A342" s="12" t="s">
        <v>61</v>
      </c>
      <c r="B342" s="27">
        <v>32</v>
      </c>
      <c r="C342" s="27"/>
      <c r="D342" s="27">
        <v>1</v>
      </c>
      <c r="E342" s="8">
        <v>33</v>
      </c>
    </row>
    <row r="343" spans="1:5" x14ac:dyDescent="0.25">
      <c r="A343" s="12" t="s">
        <v>77</v>
      </c>
      <c r="B343" s="27">
        <v>17</v>
      </c>
      <c r="C343" s="27"/>
      <c r="D343" s="27"/>
      <c r="E343" s="8">
        <v>17</v>
      </c>
    </row>
    <row r="344" spans="1:5" x14ac:dyDescent="0.25">
      <c r="A344" s="12" t="s">
        <v>54</v>
      </c>
      <c r="B344" s="27">
        <v>16</v>
      </c>
      <c r="C344" s="27"/>
      <c r="D344" s="27"/>
      <c r="E344" s="8">
        <v>16</v>
      </c>
    </row>
    <row r="345" spans="1:5" x14ac:dyDescent="0.25">
      <c r="A345" s="12" t="s">
        <v>22</v>
      </c>
      <c r="B345" s="27">
        <v>11</v>
      </c>
      <c r="C345" s="27"/>
      <c r="D345" s="27"/>
      <c r="E345" s="8">
        <v>11</v>
      </c>
    </row>
    <row r="346" spans="1:5" x14ac:dyDescent="0.25">
      <c r="A346" s="12" t="s">
        <v>42</v>
      </c>
      <c r="B346" s="27">
        <v>9</v>
      </c>
      <c r="C346" s="27">
        <v>2</v>
      </c>
      <c r="D346" s="27"/>
      <c r="E346" s="8">
        <v>11</v>
      </c>
    </row>
    <row r="347" spans="1:5" x14ac:dyDescent="0.25">
      <c r="A347" s="12" t="s">
        <v>37</v>
      </c>
      <c r="B347" s="27">
        <v>10</v>
      </c>
      <c r="C347" s="27"/>
      <c r="D347" s="27"/>
      <c r="E347" s="8">
        <v>10</v>
      </c>
    </row>
    <row r="348" spans="1:5" x14ac:dyDescent="0.25">
      <c r="A348" s="12" t="s">
        <v>13</v>
      </c>
      <c r="B348" s="27">
        <v>10</v>
      </c>
      <c r="C348" s="27"/>
      <c r="D348" s="27"/>
      <c r="E348" s="8">
        <v>10</v>
      </c>
    </row>
    <row r="349" spans="1:5" x14ac:dyDescent="0.25">
      <c r="A349" s="12" t="s">
        <v>127</v>
      </c>
      <c r="B349" s="27">
        <v>7</v>
      </c>
      <c r="C349" s="27"/>
      <c r="D349" s="27"/>
      <c r="E349" s="8">
        <v>7</v>
      </c>
    </row>
    <row r="350" spans="1:5" x14ac:dyDescent="0.25">
      <c r="A350" s="12" t="s">
        <v>374</v>
      </c>
      <c r="B350" s="27">
        <v>3</v>
      </c>
      <c r="C350" s="27">
        <v>3</v>
      </c>
      <c r="D350" s="27"/>
      <c r="E350" s="8">
        <v>6</v>
      </c>
    </row>
    <row r="351" spans="1:5" x14ac:dyDescent="0.25">
      <c r="A351" s="12" t="s">
        <v>103</v>
      </c>
      <c r="B351" s="27">
        <v>5</v>
      </c>
      <c r="C351" s="27"/>
      <c r="D351" s="27"/>
      <c r="E351" s="8">
        <v>5</v>
      </c>
    </row>
    <row r="352" spans="1:5" x14ac:dyDescent="0.25">
      <c r="A352" s="12" t="s">
        <v>116</v>
      </c>
      <c r="B352" s="27">
        <v>3</v>
      </c>
      <c r="C352" s="27"/>
      <c r="D352" s="27"/>
      <c r="E352" s="8">
        <v>3</v>
      </c>
    </row>
    <row r="353" spans="1:5" x14ac:dyDescent="0.25">
      <c r="A353" s="12" t="s">
        <v>333</v>
      </c>
      <c r="B353" s="27">
        <v>3</v>
      </c>
      <c r="C353" s="27"/>
      <c r="D353" s="27"/>
      <c r="E353" s="8">
        <v>3</v>
      </c>
    </row>
    <row r="354" spans="1:5" x14ac:dyDescent="0.25">
      <c r="A354" s="12" t="s">
        <v>123</v>
      </c>
      <c r="B354" s="27">
        <v>2</v>
      </c>
      <c r="C354" s="27"/>
      <c r="D354" s="27"/>
      <c r="E354" s="8">
        <v>2</v>
      </c>
    </row>
    <row r="355" spans="1:5" x14ac:dyDescent="0.25">
      <c r="A355" s="12" t="s">
        <v>459</v>
      </c>
      <c r="B355" s="27">
        <v>1</v>
      </c>
      <c r="C355" s="27">
        <v>1</v>
      </c>
      <c r="D355" s="27"/>
      <c r="E355" s="8">
        <v>2</v>
      </c>
    </row>
    <row r="356" spans="1:5" x14ac:dyDescent="0.25">
      <c r="A356" s="12" t="s">
        <v>239</v>
      </c>
      <c r="B356" s="27">
        <v>2</v>
      </c>
      <c r="C356" s="27"/>
      <c r="D356" s="27"/>
      <c r="E356" s="8">
        <v>2</v>
      </c>
    </row>
    <row r="357" spans="1:5" x14ac:dyDescent="0.25">
      <c r="A357" s="12" t="s">
        <v>337</v>
      </c>
      <c r="B357" s="27">
        <v>2</v>
      </c>
      <c r="C357" s="27"/>
      <c r="D357" s="27"/>
      <c r="E357" s="8">
        <v>2</v>
      </c>
    </row>
    <row r="358" spans="1:5" x14ac:dyDescent="0.25">
      <c r="A358" s="12" t="s">
        <v>90</v>
      </c>
      <c r="B358" s="27">
        <v>2</v>
      </c>
      <c r="C358" s="27"/>
      <c r="D358" s="27"/>
      <c r="E358" s="8">
        <v>2</v>
      </c>
    </row>
    <row r="359" spans="1:5" x14ac:dyDescent="0.25">
      <c r="A359" s="12" t="s">
        <v>189</v>
      </c>
      <c r="B359" s="27">
        <v>1</v>
      </c>
      <c r="C359" s="27"/>
      <c r="D359" s="27"/>
      <c r="E359" s="8">
        <v>1</v>
      </c>
    </row>
    <row r="360" spans="1:5" x14ac:dyDescent="0.25">
      <c r="A360" s="12" t="s">
        <v>212</v>
      </c>
      <c r="B360" s="27">
        <v>1</v>
      </c>
      <c r="C360" s="27"/>
      <c r="D360" s="27"/>
      <c r="E360" s="8">
        <v>1</v>
      </c>
    </row>
    <row r="361" spans="1:5" x14ac:dyDescent="0.25">
      <c r="A361" s="12" t="s">
        <v>475</v>
      </c>
      <c r="B361" s="27">
        <v>1</v>
      </c>
      <c r="C361" s="27"/>
      <c r="D361" s="27"/>
      <c r="E361" s="8">
        <v>1</v>
      </c>
    </row>
    <row r="362" spans="1:5" x14ac:dyDescent="0.25">
      <c r="A362" s="12" t="s">
        <v>605</v>
      </c>
      <c r="B362" s="27">
        <v>187</v>
      </c>
      <c r="C362" s="27">
        <v>8</v>
      </c>
      <c r="D362" s="27">
        <v>1</v>
      </c>
      <c r="E362" s="8">
        <v>196</v>
      </c>
    </row>
  </sheetData>
  <sortState xmlns:xlrd2="http://schemas.microsoft.com/office/spreadsheetml/2017/richdata2" ref="E177:F186">
    <sortCondition descending="1" ref="F176:F18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2727-CCBC-4625-97D8-6A85EA724348}">
  <dimension ref="J1"/>
  <sheetViews>
    <sheetView tabSelected="1" workbookViewId="0">
      <selection activeCell="O1" sqref="O1"/>
    </sheetView>
  </sheetViews>
  <sheetFormatPr defaultRowHeight="15" x14ac:dyDescent="0.25"/>
  <cols>
    <col min="1" max="16384" width="9.140625" style="20"/>
  </cols>
  <sheetData>
    <row r="1" spans="10:10" ht="28.5" x14ac:dyDescent="0.45">
      <c r="J1" s="21" t="s">
        <v>628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CA7B8-99E2-4AFC-8BDE-9A58DFEA78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books</vt:lpstr>
      <vt:lpstr>books_db</vt:lpstr>
      <vt:lpstr>Descriptive Analysis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Thirunavukkarasu S</dc:creator>
  <cp:lastModifiedBy>Thirunavukkarasu S</cp:lastModifiedBy>
  <dcterms:created xsi:type="dcterms:W3CDTF">2026-02-19T16:27:07Z</dcterms:created>
  <dcterms:modified xsi:type="dcterms:W3CDTF">2026-03-03T07:03:31Z</dcterms:modified>
</cp:coreProperties>
</file>